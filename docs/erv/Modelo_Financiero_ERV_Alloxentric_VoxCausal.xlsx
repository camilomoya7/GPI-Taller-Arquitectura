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rchivos\Descargas\Entrega_Taller_Parte3\B_Caso_ERV_Alloxentric\"/>
    </mc:Choice>
  </mc:AlternateContent>
  <xr:revisionPtr revIDLastSave="0" documentId="13_ncr:1_{17CCDA3B-CEFB-4426-B36B-1E39EA751F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puestos" sheetId="1" r:id="rId1"/>
    <sheet name="Resultados" sheetId="2" r:id="rId2"/>
    <sheet name="Precios Azure" sheetId="3" r:id="rId3"/>
    <sheet name="Flujo Optimista" sheetId="4" r:id="rId4"/>
    <sheet name="Flujo Base" sheetId="5" r:id="rId5"/>
    <sheet name="Flujo Pesimista" sheetId="6" r:id="rId6"/>
    <sheet name="Sensibilida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6" l="1"/>
  <c r="C37" i="6"/>
  <c r="D37" i="6" s="1"/>
  <c r="F36" i="6"/>
  <c r="C36" i="6"/>
  <c r="D36" i="6" s="1"/>
  <c r="T36" i="6" s="1"/>
  <c r="F35" i="6"/>
  <c r="C35" i="6"/>
  <c r="D35" i="6" s="1"/>
  <c r="T35" i="6" s="1"/>
  <c r="F34" i="6"/>
  <c r="C34" i="6"/>
  <c r="D34" i="6" s="1"/>
  <c r="T34" i="6" s="1"/>
  <c r="F33" i="6"/>
  <c r="C33" i="6"/>
  <c r="D33" i="6" s="1"/>
  <c r="T33" i="6" s="1"/>
  <c r="F32" i="6"/>
  <c r="C32" i="6"/>
  <c r="D32" i="6" s="1"/>
  <c r="T32" i="6" s="1"/>
  <c r="F31" i="6"/>
  <c r="D31" i="6"/>
  <c r="T31" i="6" s="1"/>
  <c r="C31" i="6"/>
  <c r="F30" i="6"/>
  <c r="C30" i="6"/>
  <c r="D30" i="6" s="1"/>
  <c r="T30" i="6" s="1"/>
  <c r="F29" i="6"/>
  <c r="C29" i="6"/>
  <c r="D29" i="6" s="1"/>
  <c r="T29" i="6" s="1"/>
  <c r="F28" i="6"/>
  <c r="C28" i="6"/>
  <c r="D28" i="6" s="1"/>
  <c r="T28" i="6" s="1"/>
  <c r="F27" i="6"/>
  <c r="C27" i="6"/>
  <c r="D27" i="6" s="1"/>
  <c r="T27" i="6" s="1"/>
  <c r="F26" i="6"/>
  <c r="C26" i="6"/>
  <c r="D26" i="6" s="1"/>
  <c r="T26" i="6" s="1"/>
  <c r="F25" i="6"/>
  <c r="C25" i="6"/>
  <c r="D25" i="6" s="1"/>
  <c r="T25" i="6" s="1"/>
  <c r="F24" i="6"/>
  <c r="C24" i="6"/>
  <c r="D24" i="6" s="1"/>
  <c r="T24" i="6" s="1"/>
  <c r="F23" i="6"/>
  <c r="C23" i="6"/>
  <c r="D23" i="6" s="1"/>
  <c r="T23" i="6" s="1"/>
  <c r="F22" i="6"/>
  <c r="C22" i="6"/>
  <c r="D22" i="6" s="1"/>
  <c r="T22" i="6" s="1"/>
  <c r="F21" i="6"/>
  <c r="C21" i="6"/>
  <c r="D21" i="6" s="1"/>
  <c r="T21" i="6" s="1"/>
  <c r="F20" i="6"/>
  <c r="C20" i="6"/>
  <c r="D20" i="6" s="1"/>
  <c r="T20" i="6" s="1"/>
  <c r="F19" i="6"/>
  <c r="C19" i="6"/>
  <c r="D19" i="6" s="1"/>
  <c r="T19" i="6" s="1"/>
  <c r="F18" i="6"/>
  <c r="D18" i="6"/>
  <c r="T18" i="6" s="1"/>
  <c r="C18" i="6"/>
  <c r="F17" i="6"/>
  <c r="C17" i="6"/>
  <c r="D17" i="6" s="1"/>
  <c r="T17" i="6" s="1"/>
  <c r="F16" i="6"/>
  <c r="C16" i="6"/>
  <c r="D16" i="6" s="1"/>
  <c r="T16" i="6" s="1"/>
  <c r="F15" i="6"/>
  <c r="C15" i="6"/>
  <c r="D15" i="6" s="1"/>
  <c r="F14" i="6"/>
  <c r="C14" i="6"/>
  <c r="D14" i="6" s="1"/>
  <c r="T14" i="6" s="1"/>
  <c r="F13" i="6"/>
  <c r="C13" i="6"/>
  <c r="D13" i="6" s="1"/>
  <c r="T13" i="6" s="1"/>
  <c r="F12" i="6"/>
  <c r="C12" i="6"/>
  <c r="D12" i="6" s="1"/>
  <c r="T12" i="6" s="1"/>
  <c r="F11" i="6"/>
  <c r="C11" i="6"/>
  <c r="D11" i="6" s="1"/>
  <c r="T11" i="6" s="1"/>
  <c r="F10" i="6"/>
  <c r="C10" i="6"/>
  <c r="D10" i="6" s="1"/>
  <c r="F9" i="6"/>
  <c r="D9" i="6"/>
  <c r="T9" i="6" s="1"/>
  <c r="C9" i="6"/>
  <c r="F8" i="6"/>
  <c r="C8" i="6"/>
  <c r="D8" i="6" s="1"/>
  <c r="T8" i="6" s="1"/>
  <c r="F7" i="6"/>
  <c r="E7" i="6"/>
  <c r="C7" i="6"/>
  <c r="D7" i="6" s="1"/>
  <c r="T7" i="6" s="1"/>
  <c r="F6" i="6"/>
  <c r="E6" i="6"/>
  <c r="H6" i="6" s="1"/>
  <c r="C6" i="6"/>
  <c r="D6" i="6" s="1"/>
  <c r="T6" i="6" s="1"/>
  <c r="F5" i="6"/>
  <c r="C5" i="6"/>
  <c r="D5" i="6" s="1"/>
  <c r="T5" i="6" s="1"/>
  <c r="F4" i="6"/>
  <c r="C4" i="6"/>
  <c r="D4" i="6" s="1"/>
  <c r="T4" i="6" s="1"/>
  <c r="F3" i="6"/>
  <c r="E3" i="6"/>
  <c r="H3" i="6" s="1"/>
  <c r="C3" i="6"/>
  <c r="D3" i="6" s="1"/>
  <c r="T3" i="6" s="1"/>
  <c r="F2" i="6"/>
  <c r="E2" i="6" s="1"/>
  <c r="H2" i="6" s="1"/>
  <c r="D2" i="6"/>
  <c r="T2" i="6" s="1"/>
  <c r="C2" i="6"/>
  <c r="F37" i="5"/>
  <c r="D37" i="5"/>
  <c r="T37" i="5" s="1"/>
  <c r="C11" i="2" s="1"/>
  <c r="C37" i="5"/>
  <c r="F36" i="5"/>
  <c r="C36" i="5"/>
  <c r="D36" i="5" s="1"/>
  <c r="T36" i="5" s="1"/>
  <c r="F35" i="5"/>
  <c r="E35" i="5" s="1"/>
  <c r="C35" i="5"/>
  <c r="D35" i="5" s="1"/>
  <c r="T35" i="5" s="1"/>
  <c r="F34" i="5"/>
  <c r="C34" i="5"/>
  <c r="D34" i="5" s="1"/>
  <c r="F33" i="5"/>
  <c r="C33" i="5"/>
  <c r="D33" i="5" s="1"/>
  <c r="F32" i="5"/>
  <c r="C32" i="5"/>
  <c r="D32" i="5" s="1"/>
  <c r="T32" i="5" s="1"/>
  <c r="F31" i="5"/>
  <c r="C31" i="5"/>
  <c r="D31" i="5" s="1"/>
  <c r="T31" i="5" s="1"/>
  <c r="F30" i="5"/>
  <c r="C30" i="5"/>
  <c r="D30" i="5" s="1"/>
  <c r="E30" i="5" s="1"/>
  <c r="F29" i="5"/>
  <c r="C29" i="5"/>
  <c r="D29" i="5" s="1"/>
  <c r="T29" i="5" s="1"/>
  <c r="F28" i="5"/>
  <c r="C28" i="5"/>
  <c r="D28" i="5" s="1"/>
  <c r="T28" i="5" s="1"/>
  <c r="F27" i="5"/>
  <c r="C27" i="5"/>
  <c r="D27" i="5" s="1"/>
  <c r="T27" i="5" s="1"/>
  <c r="F26" i="5"/>
  <c r="E26" i="5" s="1"/>
  <c r="G26" i="5" s="1"/>
  <c r="C26" i="5"/>
  <c r="D26" i="5" s="1"/>
  <c r="T26" i="5" s="1"/>
  <c r="F25" i="5"/>
  <c r="C25" i="5"/>
  <c r="D25" i="5" s="1"/>
  <c r="T25" i="5" s="1"/>
  <c r="F24" i="5"/>
  <c r="C24" i="5"/>
  <c r="D24" i="5" s="1"/>
  <c r="T24" i="5" s="1"/>
  <c r="F23" i="5"/>
  <c r="C23" i="5"/>
  <c r="D23" i="5" s="1"/>
  <c r="F22" i="5"/>
  <c r="D22" i="5"/>
  <c r="T22" i="5" s="1"/>
  <c r="C22" i="5"/>
  <c r="F21" i="5"/>
  <c r="C21" i="5"/>
  <c r="D21" i="5" s="1"/>
  <c r="T21" i="5" s="1"/>
  <c r="F20" i="5"/>
  <c r="C20" i="5"/>
  <c r="D20" i="5" s="1"/>
  <c r="T20" i="5" s="1"/>
  <c r="F19" i="5"/>
  <c r="C19" i="5"/>
  <c r="D19" i="5" s="1"/>
  <c r="F18" i="5"/>
  <c r="E18" i="5" s="1"/>
  <c r="D18" i="5"/>
  <c r="T18" i="5" s="1"/>
  <c r="C18" i="5"/>
  <c r="F17" i="5"/>
  <c r="D17" i="5"/>
  <c r="T17" i="5" s="1"/>
  <c r="C17" i="5"/>
  <c r="F16" i="5"/>
  <c r="C16" i="5"/>
  <c r="D16" i="5" s="1"/>
  <c r="T16" i="5" s="1"/>
  <c r="F15" i="5"/>
  <c r="P15" i="5" s="1"/>
  <c r="C15" i="5"/>
  <c r="D15" i="5" s="1"/>
  <c r="F14" i="5"/>
  <c r="C14" i="5"/>
  <c r="D14" i="5" s="1"/>
  <c r="E14" i="5" s="1"/>
  <c r="G14" i="5" s="1"/>
  <c r="F13" i="5"/>
  <c r="E13" i="5" s="1"/>
  <c r="C13" i="5"/>
  <c r="D13" i="5" s="1"/>
  <c r="T13" i="5" s="1"/>
  <c r="F12" i="5"/>
  <c r="D12" i="5"/>
  <c r="T12" i="5" s="1"/>
  <c r="C12" i="5"/>
  <c r="F11" i="5"/>
  <c r="C11" i="5"/>
  <c r="D11" i="5" s="1"/>
  <c r="F10" i="5"/>
  <c r="C10" i="5"/>
  <c r="D10" i="5" s="1"/>
  <c r="E10" i="5" s="1"/>
  <c r="H10" i="5" s="1"/>
  <c r="F9" i="5"/>
  <c r="C9" i="5"/>
  <c r="D9" i="5" s="1"/>
  <c r="T9" i="5" s="1"/>
  <c r="F8" i="5"/>
  <c r="P8" i="5" s="1"/>
  <c r="C8" i="5"/>
  <c r="D8" i="5" s="1"/>
  <c r="T8" i="5" s="1"/>
  <c r="F7" i="5"/>
  <c r="C7" i="5"/>
  <c r="D7" i="5" s="1"/>
  <c r="T6" i="5"/>
  <c r="F6" i="5"/>
  <c r="C6" i="5"/>
  <c r="D6" i="5" s="1"/>
  <c r="F5" i="5"/>
  <c r="C5" i="5"/>
  <c r="D5" i="5" s="1"/>
  <c r="F4" i="5"/>
  <c r="C4" i="5"/>
  <c r="D4" i="5" s="1"/>
  <c r="T4" i="5" s="1"/>
  <c r="F3" i="5"/>
  <c r="E3" i="5"/>
  <c r="H3" i="5" s="1"/>
  <c r="C3" i="5"/>
  <c r="D3" i="5" s="1"/>
  <c r="T3" i="5" s="1"/>
  <c r="F2" i="5"/>
  <c r="E2" i="5"/>
  <c r="H2" i="5" s="1"/>
  <c r="C2" i="5"/>
  <c r="D2" i="5" s="1"/>
  <c r="T2" i="5" s="1"/>
  <c r="F37" i="4"/>
  <c r="D37" i="4"/>
  <c r="T37" i="4" s="1"/>
  <c r="B11" i="2" s="1"/>
  <c r="C37" i="4"/>
  <c r="F36" i="4"/>
  <c r="C36" i="4"/>
  <c r="D36" i="4" s="1"/>
  <c r="T36" i="4" s="1"/>
  <c r="F35" i="4"/>
  <c r="P35" i="4" s="1"/>
  <c r="C35" i="4"/>
  <c r="D35" i="4" s="1"/>
  <c r="F34" i="4"/>
  <c r="C34" i="4"/>
  <c r="D34" i="4" s="1"/>
  <c r="E34" i="4" s="1"/>
  <c r="H34" i="4" s="1"/>
  <c r="F33" i="4"/>
  <c r="C33" i="4"/>
  <c r="D33" i="4" s="1"/>
  <c r="T33" i="4" s="1"/>
  <c r="F32" i="4"/>
  <c r="Q32" i="4" s="1"/>
  <c r="C32" i="4"/>
  <c r="D32" i="4" s="1"/>
  <c r="F31" i="4"/>
  <c r="Q31" i="4" s="1"/>
  <c r="C31" i="4"/>
  <c r="D31" i="4" s="1"/>
  <c r="F30" i="4"/>
  <c r="C30" i="4"/>
  <c r="D30" i="4" s="1"/>
  <c r="E30" i="4" s="1"/>
  <c r="H30" i="4" s="1"/>
  <c r="F29" i="4"/>
  <c r="C29" i="4"/>
  <c r="D29" i="4" s="1"/>
  <c r="T29" i="4" s="1"/>
  <c r="F28" i="4"/>
  <c r="C28" i="4"/>
  <c r="D28" i="4" s="1"/>
  <c r="T28" i="4" s="1"/>
  <c r="F27" i="4"/>
  <c r="C27" i="4"/>
  <c r="D27" i="4" s="1"/>
  <c r="T27" i="4" s="1"/>
  <c r="F26" i="4"/>
  <c r="C26" i="4"/>
  <c r="D26" i="4" s="1"/>
  <c r="T26" i="4" s="1"/>
  <c r="F25" i="4"/>
  <c r="D25" i="4"/>
  <c r="T25" i="4" s="1"/>
  <c r="C25" i="4"/>
  <c r="F24" i="4"/>
  <c r="Q24" i="4" s="1"/>
  <c r="C24" i="4"/>
  <c r="D24" i="4" s="1"/>
  <c r="T24" i="4" s="1"/>
  <c r="F23" i="4"/>
  <c r="C23" i="4"/>
  <c r="D23" i="4" s="1"/>
  <c r="F22" i="4"/>
  <c r="C22" i="4"/>
  <c r="D22" i="4" s="1"/>
  <c r="T22" i="4" s="1"/>
  <c r="F21" i="4"/>
  <c r="Q21" i="4" s="1"/>
  <c r="C21" i="4"/>
  <c r="D21" i="4" s="1"/>
  <c r="T21" i="4" s="1"/>
  <c r="Q20" i="4"/>
  <c r="F20" i="4"/>
  <c r="E20" i="4"/>
  <c r="C20" i="4"/>
  <c r="D20" i="4" s="1"/>
  <c r="T20" i="4" s="1"/>
  <c r="F19" i="4"/>
  <c r="C19" i="4"/>
  <c r="D19" i="4" s="1"/>
  <c r="F18" i="4"/>
  <c r="C18" i="4"/>
  <c r="D18" i="4" s="1"/>
  <c r="T18" i="4" s="1"/>
  <c r="F17" i="4"/>
  <c r="Q17" i="4" s="1"/>
  <c r="C17" i="4"/>
  <c r="D17" i="4" s="1"/>
  <c r="F16" i="4"/>
  <c r="Q16" i="4" s="1"/>
  <c r="C16" i="4"/>
  <c r="D16" i="4" s="1"/>
  <c r="T16" i="4" s="1"/>
  <c r="F15" i="4"/>
  <c r="C15" i="4"/>
  <c r="D15" i="4" s="1"/>
  <c r="T15" i="4" s="1"/>
  <c r="F14" i="4"/>
  <c r="C14" i="4"/>
  <c r="D14" i="4" s="1"/>
  <c r="T14" i="4" s="1"/>
  <c r="F13" i="4"/>
  <c r="C13" i="4"/>
  <c r="D13" i="4" s="1"/>
  <c r="T13" i="4" s="1"/>
  <c r="F12" i="4"/>
  <c r="Q12" i="4" s="1"/>
  <c r="C12" i="4"/>
  <c r="D12" i="4" s="1"/>
  <c r="T12" i="4" s="1"/>
  <c r="F11" i="4"/>
  <c r="C11" i="4"/>
  <c r="D11" i="4" s="1"/>
  <c r="T11" i="4" s="1"/>
  <c r="F10" i="4"/>
  <c r="C10" i="4"/>
  <c r="D10" i="4" s="1"/>
  <c r="T10" i="4" s="1"/>
  <c r="F9" i="4"/>
  <c r="E9" i="4" s="1"/>
  <c r="G9" i="4" s="1"/>
  <c r="D9" i="4"/>
  <c r="T9" i="4" s="1"/>
  <c r="C9" i="4"/>
  <c r="F8" i="4"/>
  <c r="Q8" i="4" s="1"/>
  <c r="C8" i="4"/>
  <c r="D8" i="4" s="1"/>
  <c r="T8" i="4" s="1"/>
  <c r="F7" i="4"/>
  <c r="C7" i="4"/>
  <c r="D7" i="4" s="1"/>
  <c r="T7" i="4" s="1"/>
  <c r="F6" i="4"/>
  <c r="C6" i="4"/>
  <c r="D6" i="4" s="1"/>
  <c r="T6" i="4" s="1"/>
  <c r="F5" i="4"/>
  <c r="D5" i="4"/>
  <c r="T5" i="4" s="1"/>
  <c r="C5" i="4"/>
  <c r="F4" i="4"/>
  <c r="E4" i="4" s="1"/>
  <c r="C4" i="4"/>
  <c r="D4" i="4" s="1"/>
  <c r="T4" i="4" s="1"/>
  <c r="F3" i="4"/>
  <c r="C3" i="4"/>
  <c r="D3" i="4" s="1"/>
  <c r="T3" i="4" s="1"/>
  <c r="F2" i="4"/>
  <c r="C2" i="4"/>
  <c r="D2" i="4" s="1"/>
  <c r="T2" i="4" s="1"/>
  <c r="C14" i="3"/>
  <c r="Q13" i="5" s="1"/>
  <c r="C13" i="3"/>
  <c r="C12" i="3"/>
  <c r="C11" i="3"/>
  <c r="C10" i="3"/>
  <c r="C9" i="3"/>
  <c r="M35" i="5" s="1"/>
  <c r="C8" i="3"/>
  <c r="C7" i="3"/>
  <c r="C6" i="3"/>
  <c r="C5" i="3"/>
  <c r="P29" i="5" s="1"/>
  <c r="C4" i="3"/>
  <c r="C3" i="3"/>
  <c r="D49" i="1"/>
  <c r="C49" i="1"/>
  <c r="B49" i="1"/>
  <c r="D48" i="1"/>
  <c r="C48" i="1"/>
  <c r="B48" i="1"/>
  <c r="D47" i="1"/>
  <c r="C47" i="1"/>
  <c r="B47" i="1"/>
  <c r="D46" i="1"/>
  <c r="C46" i="1"/>
  <c r="B46" i="1"/>
  <c r="D44" i="1"/>
  <c r="C44" i="1"/>
  <c r="R37" i="5" s="1"/>
  <c r="B44" i="1"/>
  <c r="B45" i="1" s="1"/>
  <c r="T15" i="6" l="1"/>
  <c r="E15" i="6"/>
  <c r="E10" i="6"/>
  <c r="H10" i="6" s="1"/>
  <c r="T10" i="6"/>
  <c r="H18" i="5"/>
  <c r="G18" i="5"/>
  <c r="T5" i="5"/>
  <c r="E5" i="5"/>
  <c r="H5" i="5" s="1"/>
  <c r="E11" i="6"/>
  <c r="T33" i="5"/>
  <c r="E33" i="5"/>
  <c r="E28" i="4"/>
  <c r="G28" i="4" s="1"/>
  <c r="I28" i="4" s="1"/>
  <c r="S28" i="4" s="1"/>
  <c r="U28" i="4" s="1"/>
  <c r="O26" i="4"/>
  <c r="H13" i="5"/>
  <c r="G13" i="5"/>
  <c r="T37" i="6"/>
  <c r="D11" i="2" s="1"/>
  <c r="E37" i="6"/>
  <c r="H37" i="6" s="1"/>
  <c r="E17" i="4"/>
  <c r="T17" i="4"/>
  <c r="G35" i="5"/>
  <c r="I35" i="5" s="1"/>
  <c r="H35" i="5"/>
  <c r="E25" i="4"/>
  <c r="G25" i="4" s="1"/>
  <c r="E17" i="5"/>
  <c r="H17" i="5" s="1"/>
  <c r="E37" i="5"/>
  <c r="E29" i="4"/>
  <c r="H29" i="4" s="1"/>
  <c r="E36" i="4"/>
  <c r="E26" i="4"/>
  <c r="H26" i="4" s="1"/>
  <c r="P29" i="4"/>
  <c r="H14" i="5"/>
  <c r="T14" i="5"/>
  <c r="N26" i="4"/>
  <c r="E5" i="4"/>
  <c r="G5" i="4" s="1"/>
  <c r="H26" i="5"/>
  <c r="I13" i="5"/>
  <c r="L3" i="4"/>
  <c r="E13" i="4"/>
  <c r="H13" i="4" s="1"/>
  <c r="G30" i="4"/>
  <c r="I30" i="4" s="1"/>
  <c r="E22" i="5"/>
  <c r="G22" i="5" s="1"/>
  <c r="I22" i="5" s="1"/>
  <c r="T34" i="4"/>
  <c r="G6" i="6"/>
  <c r="E21" i="4"/>
  <c r="G21" i="4" s="1"/>
  <c r="P24" i="4"/>
  <c r="G2" i="5"/>
  <c r="E20" i="5"/>
  <c r="L7" i="4"/>
  <c r="E6" i="5"/>
  <c r="H4" i="4"/>
  <c r="G4" i="4"/>
  <c r="I4" i="4" s="1"/>
  <c r="B37" i="4"/>
  <c r="B33" i="4"/>
  <c r="B29" i="4"/>
  <c r="B28" i="4"/>
  <c r="B21" i="4"/>
  <c r="B17" i="4"/>
  <c r="B13" i="4"/>
  <c r="B9" i="4"/>
  <c r="B5" i="4"/>
  <c r="B30" i="4"/>
  <c r="B27" i="4"/>
  <c r="B25" i="4"/>
  <c r="B22" i="4"/>
  <c r="B18" i="4"/>
  <c r="B14" i="4"/>
  <c r="B10" i="4"/>
  <c r="B6" i="4"/>
  <c r="B2" i="4"/>
  <c r="B32" i="4"/>
  <c r="B36" i="4"/>
  <c r="B35" i="4"/>
  <c r="B24" i="4"/>
  <c r="B19" i="4"/>
  <c r="B31" i="4"/>
  <c r="B12" i="4"/>
  <c r="B26" i="4"/>
  <c r="B7" i="4"/>
  <c r="B15" i="4"/>
  <c r="B3" i="4"/>
  <c r="B4" i="4"/>
  <c r="B20" i="4"/>
  <c r="B8" i="4"/>
  <c r="B16" i="4"/>
  <c r="B34" i="4"/>
  <c r="B23" i="4"/>
  <c r="B11" i="4"/>
  <c r="B2" i="2"/>
  <c r="G13" i="4"/>
  <c r="R4" i="4"/>
  <c r="R6" i="4"/>
  <c r="L12" i="4"/>
  <c r="T19" i="4"/>
  <c r="E19" i="4"/>
  <c r="N19" i="4" s="1"/>
  <c r="J28" i="5"/>
  <c r="Q32" i="5"/>
  <c r="E32" i="5"/>
  <c r="N32" i="5" s="1"/>
  <c r="P32" i="5"/>
  <c r="R32" i="5"/>
  <c r="M32" i="5"/>
  <c r="L32" i="5"/>
  <c r="J32" i="5"/>
  <c r="R35" i="5"/>
  <c r="R18" i="5"/>
  <c r="R34" i="5"/>
  <c r="R20" i="5"/>
  <c r="R33" i="5"/>
  <c r="R25" i="5"/>
  <c r="R22" i="5"/>
  <c r="R29" i="5"/>
  <c r="R30" i="5"/>
  <c r="R26" i="5"/>
  <c r="R16" i="5"/>
  <c r="M7" i="5"/>
  <c r="D7" i="2"/>
  <c r="G29" i="4"/>
  <c r="I29" i="4" s="1"/>
  <c r="R31" i="4"/>
  <c r="H36" i="4"/>
  <c r="G36" i="4"/>
  <c r="I36" i="4" s="1"/>
  <c r="I14" i="5"/>
  <c r="J37" i="4"/>
  <c r="J26" i="4"/>
  <c r="J35" i="4"/>
  <c r="J34" i="4"/>
  <c r="J33" i="4"/>
  <c r="J30" i="4"/>
  <c r="J25" i="4"/>
  <c r="J22" i="4"/>
  <c r="J18" i="4"/>
  <c r="J14" i="4"/>
  <c r="J10" i="4"/>
  <c r="J6" i="4"/>
  <c r="J2" i="4"/>
  <c r="J23" i="4"/>
  <c r="J19" i="4"/>
  <c r="J15" i="4"/>
  <c r="J11" i="4"/>
  <c r="R14" i="4"/>
  <c r="L34" i="5"/>
  <c r="L29" i="5"/>
  <c r="L26" i="6"/>
  <c r="L21" i="6"/>
  <c r="L16" i="6"/>
  <c r="L14" i="6"/>
  <c r="L9" i="6"/>
  <c r="L30" i="5"/>
  <c r="L12" i="6"/>
  <c r="L2" i="6"/>
  <c r="L11" i="6"/>
  <c r="L33" i="5"/>
  <c r="L19" i="5"/>
  <c r="L3" i="6"/>
  <c r="L37" i="5"/>
  <c r="L19" i="6"/>
  <c r="L4" i="6"/>
  <c r="L6" i="6"/>
  <c r="L13" i="6"/>
  <c r="L18" i="6"/>
  <c r="L7" i="6"/>
  <c r="L23" i="5"/>
  <c r="L18" i="5"/>
  <c r="L8" i="6"/>
  <c r="L29" i="6"/>
  <c r="L15" i="5"/>
  <c r="L11" i="5"/>
  <c r="L7" i="5"/>
  <c r="L3" i="5"/>
  <c r="L35" i="4"/>
  <c r="L24" i="6"/>
  <c r="L26" i="4"/>
  <c r="L2" i="5"/>
  <c r="L10" i="5"/>
  <c r="L34" i="4"/>
  <c r="L14" i="4"/>
  <c r="L6" i="4"/>
  <c r="L30" i="4"/>
  <c r="L25" i="4"/>
  <c r="L22" i="4"/>
  <c r="L18" i="4"/>
  <c r="L10" i="4"/>
  <c r="L6" i="5"/>
  <c r="L35" i="5"/>
  <c r="O34" i="4"/>
  <c r="N34" i="4"/>
  <c r="O30" i="4"/>
  <c r="N30" i="4"/>
  <c r="N25" i="4"/>
  <c r="K30" i="4"/>
  <c r="M19" i="6"/>
  <c r="M37" i="6"/>
  <c r="M14" i="6"/>
  <c r="M37" i="5"/>
  <c r="M29" i="5"/>
  <c r="M4" i="6"/>
  <c r="M2" i="6"/>
  <c r="M6" i="6"/>
  <c r="M36" i="6"/>
  <c r="M21" i="5"/>
  <c r="M20" i="5"/>
  <c r="M30" i="5"/>
  <c r="M26" i="5"/>
  <c r="M9" i="6"/>
  <c r="M33" i="5"/>
  <c r="M2" i="5"/>
  <c r="M10" i="5"/>
  <c r="M35" i="4"/>
  <c r="M34" i="4"/>
  <c r="M31" i="5"/>
  <c r="M18" i="5"/>
  <c r="M3" i="5"/>
  <c r="M31" i="6"/>
  <c r="M11" i="5"/>
  <c r="M22" i="5"/>
  <c r="M30" i="4"/>
  <c r="M22" i="4"/>
  <c r="M34" i="5"/>
  <c r="M25" i="5"/>
  <c r="M6" i="5"/>
  <c r="M27" i="4"/>
  <c r="M14" i="5"/>
  <c r="M23" i="4"/>
  <c r="M19" i="4"/>
  <c r="M15" i="4"/>
  <c r="M11" i="4"/>
  <c r="M7" i="4"/>
  <c r="M3" i="4"/>
  <c r="M15" i="5"/>
  <c r="M32" i="4"/>
  <c r="M26" i="4"/>
  <c r="M20" i="4"/>
  <c r="M16" i="4"/>
  <c r="M12" i="4"/>
  <c r="L2" i="4"/>
  <c r="O9" i="4"/>
  <c r="N9" i="4"/>
  <c r="M9" i="4"/>
  <c r="L9" i="4"/>
  <c r="K9" i="4"/>
  <c r="J9" i="4"/>
  <c r="P9" i="4"/>
  <c r="E16" i="4"/>
  <c r="L19" i="4"/>
  <c r="O21" i="4"/>
  <c r="N21" i="4"/>
  <c r="M21" i="4"/>
  <c r="L21" i="4"/>
  <c r="K21" i="4"/>
  <c r="J21" i="4"/>
  <c r="P21" i="4"/>
  <c r="L29" i="4"/>
  <c r="T32" i="4"/>
  <c r="E32" i="4"/>
  <c r="R36" i="4"/>
  <c r="G5" i="5"/>
  <c r="T11" i="5"/>
  <c r="E11" i="5"/>
  <c r="K11" i="5" s="1"/>
  <c r="O14" i="5"/>
  <c r="O10" i="5"/>
  <c r="O2" i="5"/>
  <c r="O35" i="5"/>
  <c r="N14" i="5"/>
  <c r="N10" i="5"/>
  <c r="N2" i="5"/>
  <c r="O30" i="5"/>
  <c r="O26" i="5"/>
  <c r="N3" i="5"/>
  <c r="O37" i="5"/>
  <c r="O33" i="5"/>
  <c r="N18" i="5"/>
  <c r="O3" i="5"/>
  <c r="O20" i="5"/>
  <c r="O5" i="4"/>
  <c r="M5" i="4"/>
  <c r="L5" i="4"/>
  <c r="J5" i="4"/>
  <c r="H9" i="4"/>
  <c r="I9" i="4" s="1"/>
  <c r="S9" i="4" s="1"/>
  <c r="L16" i="4"/>
  <c r="H21" i="4"/>
  <c r="I21" i="4" s="1"/>
  <c r="T23" i="4"/>
  <c r="E23" i="4"/>
  <c r="O23" i="4" s="1"/>
  <c r="J27" i="4"/>
  <c r="E19" i="5"/>
  <c r="O19" i="5" s="1"/>
  <c r="T19" i="5"/>
  <c r="J33" i="5"/>
  <c r="J29" i="5"/>
  <c r="J19" i="5"/>
  <c r="J37" i="5"/>
  <c r="J35" i="5"/>
  <c r="J34" i="5"/>
  <c r="J15" i="5"/>
  <c r="J9" i="5"/>
  <c r="J21" i="5"/>
  <c r="J2" i="5"/>
  <c r="J31" i="5"/>
  <c r="J17" i="5"/>
  <c r="J10" i="5"/>
  <c r="J3" i="5"/>
  <c r="J11" i="5"/>
  <c r="J5" i="5"/>
  <c r="J23" i="5"/>
  <c r="J13" i="5"/>
  <c r="J6" i="5"/>
  <c r="J7" i="5"/>
  <c r="O7" i="6"/>
  <c r="O3" i="6"/>
  <c r="O2" i="6"/>
  <c r="O6" i="6"/>
  <c r="O11" i="6"/>
  <c r="N32" i="4"/>
  <c r="J14" i="5"/>
  <c r="J12" i="6"/>
  <c r="J7" i="6"/>
  <c r="J2" i="6"/>
  <c r="J9" i="6"/>
  <c r="J11" i="6"/>
  <c r="J3" i="6"/>
  <c r="J21" i="6"/>
  <c r="J4" i="6"/>
  <c r="J6" i="6"/>
  <c r="J13" i="6"/>
  <c r="J16" i="6"/>
  <c r="J8" i="6"/>
  <c r="Q9" i="4"/>
  <c r="N16" i="4"/>
  <c r="R18" i="4"/>
  <c r="E8" i="4"/>
  <c r="N8" i="4" s="1"/>
  <c r="R9" i="4"/>
  <c r="O16" i="4"/>
  <c r="R21" i="4"/>
  <c r="K23" i="4"/>
  <c r="O32" i="4"/>
  <c r="R8" i="5"/>
  <c r="L14" i="5"/>
  <c r="J26" i="5"/>
  <c r="J30" i="5"/>
  <c r="R37" i="6"/>
  <c r="R16" i="6"/>
  <c r="R11" i="6"/>
  <c r="R6" i="6"/>
  <c r="R3" i="6"/>
  <c r="R12" i="6"/>
  <c r="R7" i="6"/>
  <c r="R8" i="6"/>
  <c r="R20" i="6"/>
  <c r="R10" i="6"/>
  <c r="R4" i="6"/>
  <c r="R2" i="6"/>
  <c r="L4" i="4"/>
  <c r="K4" i="4"/>
  <c r="J4" i="4"/>
  <c r="P4" i="4"/>
  <c r="P5" i="4"/>
  <c r="L8" i="4"/>
  <c r="L11" i="4"/>
  <c r="O13" i="4"/>
  <c r="M13" i="4"/>
  <c r="L13" i="4"/>
  <c r="K13" i="4"/>
  <c r="J13" i="4"/>
  <c r="P13" i="4"/>
  <c r="H20" i="4"/>
  <c r="G20" i="4"/>
  <c r="L23" i="4"/>
  <c r="L12" i="5"/>
  <c r="J12" i="5"/>
  <c r="Q12" i="5"/>
  <c r="E12" i="5"/>
  <c r="O12" i="5"/>
  <c r="R12" i="5"/>
  <c r="P12" i="5"/>
  <c r="N12" i="5"/>
  <c r="M12" i="5"/>
  <c r="N26" i="5"/>
  <c r="N30" i="5"/>
  <c r="I6" i="6"/>
  <c r="R25" i="4"/>
  <c r="R32" i="4"/>
  <c r="R29" i="4"/>
  <c r="R28" i="4"/>
  <c r="C45" i="1"/>
  <c r="D45" i="1"/>
  <c r="R17" i="4"/>
  <c r="M4" i="4"/>
  <c r="Q5" i="4"/>
  <c r="M8" i="4"/>
  <c r="K18" i="4"/>
  <c r="L20" i="4"/>
  <c r="N23" i="4"/>
  <c r="H28" i="4"/>
  <c r="T35" i="4"/>
  <c r="E35" i="4"/>
  <c r="K35" i="4" s="1"/>
  <c r="T15" i="5"/>
  <c r="E15" i="5"/>
  <c r="O15" i="5" s="1"/>
  <c r="E34" i="5"/>
  <c r="K34" i="5" s="1"/>
  <c r="T34" i="5"/>
  <c r="N4" i="4"/>
  <c r="R5" i="4"/>
  <c r="R10" i="4"/>
  <c r="Q13" i="4"/>
  <c r="N20" i="4"/>
  <c r="R22" i="4"/>
  <c r="J20" i="5"/>
  <c r="R2" i="4"/>
  <c r="J3" i="4"/>
  <c r="O4" i="4"/>
  <c r="R13" i="4"/>
  <c r="O20" i="4"/>
  <c r="T7" i="5"/>
  <c r="E7" i="5"/>
  <c r="O7" i="5" s="1"/>
  <c r="L20" i="5"/>
  <c r="Q4" i="4"/>
  <c r="J7" i="4"/>
  <c r="E12" i="4"/>
  <c r="L15" i="4"/>
  <c r="O17" i="4"/>
  <c r="N17" i="4"/>
  <c r="M17" i="4"/>
  <c r="L17" i="4"/>
  <c r="K17" i="4"/>
  <c r="J17" i="4"/>
  <c r="P17" i="4"/>
  <c r="J24" i="4"/>
  <c r="T31" i="4"/>
  <c r="E31" i="4"/>
  <c r="N37" i="5"/>
  <c r="P31" i="4"/>
  <c r="M33" i="4"/>
  <c r="Q36" i="4"/>
  <c r="Q37" i="4"/>
  <c r="R6" i="5"/>
  <c r="Q9" i="5"/>
  <c r="T10" i="5"/>
  <c r="O13" i="5"/>
  <c r="Q28" i="5"/>
  <c r="E28" i="5"/>
  <c r="N28" i="5"/>
  <c r="R28" i="5"/>
  <c r="P28" i="5"/>
  <c r="M28" i="5"/>
  <c r="L28" i="5"/>
  <c r="H37" i="5"/>
  <c r="I37" i="5" s="1"/>
  <c r="G37" i="5"/>
  <c r="Q14" i="6"/>
  <c r="P8" i="4"/>
  <c r="P12" i="4"/>
  <c r="P16" i="4"/>
  <c r="P20" i="4"/>
  <c r="E24" i="4"/>
  <c r="N24" i="4" s="1"/>
  <c r="R24" i="4"/>
  <c r="Q26" i="4"/>
  <c r="L27" i="4"/>
  <c r="L28" i="4"/>
  <c r="K28" i="4"/>
  <c r="J28" i="4"/>
  <c r="Q29" i="4"/>
  <c r="P32" i="4"/>
  <c r="R19" i="5"/>
  <c r="P26" i="5"/>
  <c r="P30" i="5"/>
  <c r="R22" i="6"/>
  <c r="E22" i="6"/>
  <c r="Q22" i="6"/>
  <c r="P22" i="6"/>
  <c r="N22" i="6"/>
  <c r="M22" i="6"/>
  <c r="L22" i="6"/>
  <c r="J22" i="6"/>
  <c r="R34" i="4"/>
  <c r="L4" i="5"/>
  <c r="J4" i="5"/>
  <c r="Q4" i="5"/>
  <c r="E4" i="5"/>
  <c r="K4" i="5" s="1"/>
  <c r="O4" i="5"/>
  <c r="P7" i="5"/>
  <c r="P13" i="5"/>
  <c r="Q20" i="5"/>
  <c r="H22" i="5"/>
  <c r="R8" i="4"/>
  <c r="R12" i="4"/>
  <c r="R16" i="4"/>
  <c r="R20" i="4"/>
  <c r="R26" i="4"/>
  <c r="G34" i="4"/>
  <c r="I34" i="4" s="1"/>
  <c r="E37" i="4"/>
  <c r="N37" i="4" s="1"/>
  <c r="R10" i="5"/>
  <c r="O17" i="5"/>
  <c r="P22" i="5"/>
  <c r="E29" i="5"/>
  <c r="O29" i="5" s="1"/>
  <c r="Q36" i="5"/>
  <c r="E36" i="5"/>
  <c r="K36" i="5" s="1"/>
  <c r="P36" i="5"/>
  <c r="R36" i="5"/>
  <c r="M36" i="5"/>
  <c r="L36" i="5"/>
  <c r="H7" i="6"/>
  <c r="G7" i="6"/>
  <c r="Q35" i="5"/>
  <c r="Q30" i="5"/>
  <c r="Q23" i="6"/>
  <c r="Q18" i="6"/>
  <c r="Q13" i="6"/>
  <c r="Q3" i="6"/>
  <c r="Q11" i="6"/>
  <c r="Q6" i="6"/>
  <c r="Q19" i="6"/>
  <c r="Q14" i="5"/>
  <c r="Q10" i="5"/>
  <c r="Q6" i="5"/>
  <c r="Q2" i="5"/>
  <c r="Q34" i="4"/>
  <c r="Q30" i="4"/>
  <c r="Q30" i="6"/>
  <c r="Q23" i="5"/>
  <c r="Q18" i="5"/>
  <c r="Q15" i="5"/>
  <c r="Q11" i="5"/>
  <c r="Q7" i="5"/>
  <c r="Q3" i="5"/>
  <c r="Q35" i="4"/>
  <c r="Q25" i="6"/>
  <c r="Q7" i="6"/>
  <c r="Q9" i="6"/>
  <c r="Q29" i="5"/>
  <c r="Q2" i="6"/>
  <c r="M2" i="4"/>
  <c r="P3" i="4"/>
  <c r="M6" i="4"/>
  <c r="P7" i="4"/>
  <c r="M10" i="4"/>
  <c r="P11" i="4"/>
  <c r="M14" i="4"/>
  <c r="P15" i="4"/>
  <c r="M18" i="4"/>
  <c r="P19" i="4"/>
  <c r="P23" i="4"/>
  <c r="G26" i="4"/>
  <c r="I26" i="4" s="1"/>
  <c r="J31" i="4"/>
  <c r="L33" i="4"/>
  <c r="R2" i="5"/>
  <c r="M4" i="5"/>
  <c r="P5" i="5"/>
  <c r="E9" i="5"/>
  <c r="O9" i="5" s="1"/>
  <c r="G10" i="5"/>
  <c r="I10" i="5" s="1"/>
  <c r="G17" i="5"/>
  <c r="I17" i="5" s="1"/>
  <c r="I18" i="5"/>
  <c r="Q27" i="5"/>
  <c r="E27" i="5"/>
  <c r="K27" i="5" s="1"/>
  <c r="R27" i="5"/>
  <c r="P27" i="5"/>
  <c r="P34" i="5"/>
  <c r="E3" i="4"/>
  <c r="K3" i="4" s="1"/>
  <c r="Q3" i="4"/>
  <c r="E7" i="4"/>
  <c r="K7" i="4" s="1"/>
  <c r="Q7" i="4"/>
  <c r="E11" i="4"/>
  <c r="N11" i="4" s="1"/>
  <c r="Q11" i="4"/>
  <c r="E15" i="4"/>
  <c r="Q15" i="4"/>
  <c r="Q19" i="4"/>
  <c r="Q23" i="4"/>
  <c r="P25" i="4"/>
  <c r="P27" i="4"/>
  <c r="M28" i="4"/>
  <c r="N29" i="4"/>
  <c r="M29" i="4"/>
  <c r="K31" i="4"/>
  <c r="P33" i="4"/>
  <c r="L36" i="4"/>
  <c r="K36" i="4"/>
  <c r="J36" i="4"/>
  <c r="O36" i="4"/>
  <c r="I2" i="5"/>
  <c r="N4" i="5"/>
  <c r="Q5" i="5"/>
  <c r="L16" i="5"/>
  <c r="K16" i="5"/>
  <c r="J16" i="5"/>
  <c r="Q16" i="5"/>
  <c r="E16" i="5"/>
  <c r="O16" i="5" s="1"/>
  <c r="Q19" i="5"/>
  <c r="P25" i="5"/>
  <c r="Q34" i="5"/>
  <c r="J36" i="5"/>
  <c r="R3" i="4"/>
  <c r="R7" i="4"/>
  <c r="R11" i="4"/>
  <c r="R15" i="4"/>
  <c r="R19" i="4"/>
  <c r="R23" i="4"/>
  <c r="Q25" i="4"/>
  <c r="Q27" i="4"/>
  <c r="N28" i="4"/>
  <c r="L31" i="4"/>
  <c r="L32" i="4"/>
  <c r="K32" i="4"/>
  <c r="J32" i="4"/>
  <c r="Q33" i="4"/>
  <c r="K34" i="4"/>
  <c r="K3" i="5"/>
  <c r="P4" i="5"/>
  <c r="K18" i="5"/>
  <c r="Q22" i="5"/>
  <c r="P24" i="5"/>
  <c r="Q24" i="5"/>
  <c r="M24" i="5"/>
  <c r="L24" i="5"/>
  <c r="E24" i="5"/>
  <c r="K24" i="5" s="1"/>
  <c r="J27" i="5"/>
  <c r="H33" i="5"/>
  <c r="G33" i="5"/>
  <c r="Q5" i="6"/>
  <c r="P5" i="6"/>
  <c r="M5" i="6"/>
  <c r="L5" i="6"/>
  <c r="R5" i="6"/>
  <c r="J5" i="6"/>
  <c r="E5" i="6"/>
  <c r="N5" i="6" s="1"/>
  <c r="P4" i="6"/>
  <c r="P28" i="6"/>
  <c r="P8" i="6"/>
  <c r="P3" i="6"/>
  <c r="P16" i="6"/>
  <c r="P2" i="6"/>
  <c r="P34" i="6"/>
  <c r="P14" i="5"/>
  <c r="P10" i="5"/>
  <c r="P12" i="6"/>
  <c r="P35" i="5"/>
  <c r="P23" i="5"/>
  <c r="P18" i="5"/>
  <c r="P7" i="6"/>
  <c r="P29" i="6"/>
  <c r="P33" i="5"/>
  <c r="P19" i="5"/>
  <c r="P2" i="4"/>
  <c r="P6" i="4"/>
  <c r="J8" i="4"/>
  <c r="P10" i="4"/>
  <c r="J12" i="4"/>
  <c r="P14" i="4"/>
  <c r="J16" i="4"/>
  <c r="P18" i="4"/>
  <c r="J20" i="4"/>
  <c r="P22" i="4"/>
  <c r="L24" i="4"/>
  <c r="R27" i="4"/>
  <c r="O28" i="4"/>
  <c r="M31" i="4"/>
  <c r="R33" i="4"/>
  <c r="M36" i="4"/>
  <c r="R4" i="5"/>
  <c r="L8" i="5"/>
  <c r="K8" i="5"/>
  <c r="J8" i="5"/>
  <c r="Q8" i="5"/>
  <c r="E8" i="5"/>
  <c r="N8" i="5" s="1"/>
  <c r="O8" i="5"/>
  <c r="P11" i="5"/>
  <c r="M16" i="5"/>
  <c r="P17" i="5"/>
  <c r="L27" i="5"/>
  <c r="P20" i="6"/>
  <c r="K3" i="6"/>
  <c r="K35" i="5"/>
  <c r="K7" i="6"/>
  <c r="K11" i="6"/>
  <c r="K33" i="5"/>
  <c r="K37" i="5"/>
  <c r="K17" i="5"/>
  <c r="K13" i="5"/>
  <c r="K14" i="5"/>
  <c r="K10" i="5"/>
  <c r="K6" i="5"/>
  <c r="K2" i="5"/>
  <c r="E2" i="4"/>
  <c r="O2" i="4" s="1"/>
  <c r="Q2" i="4"/>
  <c r="E6" i="4"/>
  <c r="Q6" i="4"/>
  <c r="E10" i="4"/>
  <c r="O10" i="4" s="1"/>
  <c r="Q10" i="4"/>
  <c r="K12" i="4"/>
  <c r="E14" i="4"/>
  <c r="O14" i="4" s="1"/>
  <c r="Q14" i="4"/>
  <c r="K16" i="4"/>
  <c r="E18" i="4"/>
  <c r="N18" i="4" s="1"/>
  <c r="Q18" i="4"/>
  <c r="K20" i="4"/>
  <c r="E22" i="4"/>
  <c r="N22" i="4" s="1"/>
  <c r="Q22" i="4"/>
  <c r="M24" i="4"/>
  <c r="K26" i="4"/>
  <c r="P28" i="4"/>
  <c r="T30" i="4"/>
  <c r="N31" i="4"/>
  <c r="N36" i="4"/>
  <c r="R14" i="5"/>
  <c r="N16" i="5"/>
  <c r="Q17" i="5"/>
  <c r="J24" i="5"/>
  <c r="M27" i="5"/>
  <c r="P24" i="6"/>
  <c r="O25" i="4"/>
  <c r="M25" i="4"/>
  <c r="E27" i="4"/>
  <c r="N27" i="4" s="1"/>
  <c r="Q28" i="4"/>
  <c r="J29" i="4"/>
  <c r="R30" i="4"/>
  <c r="O31" i="4"/>
  <c r="E33" i="4"/>
  <c r="K33" i="4" s="1"/>
  <c r="P36" i="4"/>
  <c r="P37" i="4"/>
  <c r="P3" i="5"/>
  <c r="M8" i="5"/>
  <c r="P9" i="5"/>
  <c r="P16" i="5"/>
  <c r="T23" i="5"/>
  <c r="E23" i="5"/>
  <c r="R24" i="5"/>
  <c r="H30" i="5"/>
  <c r="G30" i="5"/>
  <c r="Q33" i="5"/>
  <c r="M3" i="6"/>
  <c r="Q31" i="5"/>
  <c r="R31" i="6"/>
  <c r="R35" i="6"/>
  <c r="R37" i="4"/>
  <c r="R5" i="5"/>
  <c r="R9" i="5"/>
  <c r="R13" i="5"/>
  <c r="R17" i="5"/>
  <c r="Q21" i="5"/>
  <c r="E21" i="5"/>
  <c r="O21" i="5" s="1"/>
  <c r="L21" i="5"/>
  <c r="M7" i="6"/>
  <c r="R18" i="6"/>
  <c r="Q32" i="6"/>
  <c r="E32" i="6"/>
  <c r="O32" i="6" s="1"/>
  <c r="R32" i="6"/>
  <c r="P32" i="6"/>
  <c r="M32" i="6"/>
  <c r="L32" i="6"/>
  <c r="J32" i="6"/>
  <c r="L31" i="5"/>
  <c r="P6" i="6"/>
  <c r="H15" i="6"/>
  <c r="G15" i="6"/>
  <c r="R25" i="6"/>
  <c r="R27" i="6"/>
  <c r="E27" i="6"/>
  <c r="Q27" i="6"/>
  <c r="P27" i="6"/>
  <c r="M27" i="6"/>
  <c r="L27" i="6"/>
  <c r="K27" i="6"/>
  <c r="J27" i="6"/>
  <c r="M12" i="6"/>
  <c r="N15" i="6"/>
  <c r="Q15" i="6"/>
  <c r="P15" i="6"/>
  <c r="O15" i="6"/>
  <c r="M15" i="6"/>
  <c r="L15" i="6"/>
  <c r="K15" i="6"/>
  <c r="J15" i="6"/>
  <c r="G3" i="6"/>
  <c r="I3" i="6" s="1"/>
  <c r="I15" i="6"/>
  <c r="R23" i="6"/>
  <c r="R30" i="6"/>
  <c r="J33" i="6"/>
  <c r="R36" i="6"/>
  <c r="O22" i="5"/>
  <c r="J22" i="5"/>
  <c r="Q25" i="5"/>
  <c r="E25" i="5"/>
  <c r="O25" i="5" s="1"/>
  <c r="L25" i="5"/>
  <c r="T30" i="5"/>
  <c r="P31" i="5"/>
  <c r="N33" i="5"/>
  <c r="N2" i="6"/>
  <c r="P11" i="6"/>
  <c r="R15" i="6"/>
  <c r="M21" i="6"/>
  <c r="R35" i="4"/>
  <c r="L37" i="4"/>
  <c r="R3" i="5"/>
  <c r="L5" i="5"/>
  <c r="R7" i="5"/>
  <c r="L9" i="5"/>
  <c r="R11" i="5"/>
  <c r="L13" i="5"/>
  <c r="R15" i="5"/>
  <c r="L17" i="5"/>
  <c r="R31" i="5"/>
  <c r="G2" i="6"/>
  <c r="I2" i="6" s="1"/>
  <c r="K10" i="6"/>
  <c r="Q10" i="6"/>
  <c r="P10" i="6"/>
  <c r="N10" i="6"/>
  <c r="M10" i="6"/>
  <c r="L10" i="6"/>
  <c r="J10" i="6"/>
  <c r="R17" i="6"/>
  <c r="E17" i="6"/>
  <c r="Q17" i="6"/>
  <c r="M17" i="6"/>
  <c r="L17" i="6"/>
  <c r="J17" i="6"/>
  <c r="R19" i="6"/>
  <c r="R28" i="6"/>
  <c r="P26" i="4"/>
  <c r="P30" i="4"/>
  <c r="P34" i="4"/>
  <c r="M37" i="4"/>
  <c r="P2" i="5"/>
  <c r="G3" i="5"/>
  <c r="I3" i="5" s="1"/>
  <c r="M5" i="5"/>
  <c r="P6" i="5"/>
  <c r="M9" i="5"/>
  <c r="M13" i="5"/>
  <c r="M17" i="5"/>
  <c r="G10" i="6"/>
  <c r="I10" i="6" s="1"/>
  <c r="R34" i="6"/>
  <c r="N5" i="5"/>
  <c r="N13" i="5"/>
  <c r="N17" i="5"/>
  <c r="N20" i="5"/>
  <c r="P20" i="5"/>
  <c r="P21" i="5"/>
  <c r="K22" i="5"/>
  <c r="J25" i="5"/>
  <c r="K26" i="5"/>
  <c r="I26" i="5"/>
  <c r="Q26" i="5"/>
  <c r="L26" i="5"/>
  <c r="N34" i="5"/>
  <c r="P9" i="6"/>
  <c r="R14" i="6"/>
  <c r="P17" i="6"/>
  <c r="R26" i="6"/>
  <c r="O18" i="5"/>
  <c r="J18" i="5"/>
  <c r="R21" i="5"/>
  <c r="L22" i="5"/>
  <c r="R23" i="5"/>
  <c r="K25" i="5"/>
  <c r="E31" i="5"/>
  <c r="K31" i="5" s="1"/>
  <c r="M8" i="6"/>
  <c r="O10" i="6"/>
  <c r="R24" i="6"/>
  <c r="M19" i="5"/>
  <c r="M23" i="5"/>
  <c r="K30" i="5"/>
  <c r="I33" i="5"/>
  <c r="N35" i="5"/>
  <c r="P37" i="5"/>
  <c r="Q4" i="6"/>
  <c r="E4" i="6"/>
  <c r="K4" i="6" s="1"/>
  <c r="E9" i="6"/>
  <c r="N9" i="6" s="1"/>
  <c r="R9" i="6"/>
  <c r="M13" i="6"/>
  <c r="E14" i="6"/>
  <c r="K14" i="6" s="1"/>
  <c r="M18" i="6"/>
  <c r="E19" i="6"/>
  <c r="J20" i="6"/>
  <c r="L23" i="6"/>
  <c r="J25" i="6"/>
  <c r="L28" i="6"/>
  <c r="Q29" i="6"/>
  <c r="L33" i="6"/>
  <c r="Q34" i="6"/>
  <c r="Q37" i="6"/>
  <c r="O37" i="6"/>
  <c r="L37" i="6"/>
  <c r="Q37" i="5"/>
  <c r="N18" i="6"/>
  <c r="P21" i="6"/>
  <c r="M23" i="6"/>
  <c r="Q24" i="6"/>
  <c r="E24" i="6"/>
  <c r="P26" i="6"/>
  <c r="M28" i="6"/>
  <c r="E29" i="6"/>
  <c r="O29" i="6" s="1"/>
  <c r="R29" i="6"/>
  <c r="J30" i="6"/>
  <c r="P31" i="6"/>
  <c r="M33" i="6"/>
  <c r="E34" i="6"/>
  <c r="K34" i="6" s="1"/>
  <c r="J35" i="6"/>
  <c r="G37" i="6"/>
  <c r="I37" i="6" s="1"/>
  <c r="O18" i="6"/>
  <c r="L20" i="6"/>
  <c r="Q21" i="6"/>
  <c r="L25" i="6"/>
  <c r="Q26" i="6"/>
  <c r="L30" i="6"/>
  <c r="Q31" i="6"/>
  <c r="K35" i="6"/>
  <c r="P36" i="6"/>
  <c r="K6" i="6"/>
  <c r="N11" i="6"/>
  <c r="P13" i="6"/>
  <c r="Q16" i="6"/>
  <c r="E16" i="6"/>
  <c r="K16" i="6" s="1"/>
  <c r="P18" i="6"/>
  <c r="M20" i="6"/>
  <c r="E21" i="6"/>
  <c r="O21" i="6" s="1"/>
  <c r="R21" i="6"/>
  <c r="P23" i="6"/>
  <c r="M25" i="6"/>
  <c r="E26" i="6"/>
  <c r="N26" i="6" s="1"/>
  <c r="M30" i="6"/>
  <c r="E31" i="6"/>
  <c r="O31" i="6" s="1"/>
  <c r="L35" i="6"/>
  <c r="J37" i="6"/>
  <c r="N25" i="6"/>
  <c r="N31" i="6"/>
  <c r="P33" i="6"/>
  <c r="M35" i="6"/>
  <c r="Q36" i="6"/>
  <c r="E36" i="6"/>
  <c r="O36" i="6" s="1"/>
  <c r="K37" i="6"/>
  <c r="N3" i="6"/>
  <c r="Q8" i="6"/>
  <c r="E8" i="6"/>
  <c r="K9" i="6"/>
  <c r="E13" i="6"/>
  <c r="R13" i="6"/>
  <c r="J14" i="6"/>
  <c r="E18" i="6"/>
  <c r="J19" i="6"/>
  <c r="E23" i="6"/>
  <c r="J24" i="6"/>
  <c r="O25" i="6"/>
  <c r="J29" i="6"/>
  <c r="Q33" i="6"/>
  <c r="K18" i="6"/>
  <c r="P25" i="6"/>
  <c r="Q28" i="6"/>
  <c r="E28" i="6"/>
  <c r="N28" i="6" s="1"/>
  <c r="K29" i="6"/>
  <c r="P30" i="6"/>
  <c r="E33" i="6"/>
  <c r="N33" i="6" s="1"/>
  <c r="R33" i="6"/>
  <c r="J34" i="6"/>
  <c r="P35" i="6"/>
  <c r="N37" i="6"/>
  <c r="L34" i="6"/>
  <c r="Q35" i="6"/>
  <c r="P37" i="6"/>
  <c r="Q20" i="6"/>
  <c r="E20" i="6"/>
  <c r="O20" i="6" s="1"/>
  <c r="K21" i="6"/>
  <c r="M24" i="6"/>
  <c r="E25" i="6"/>
  <c r="J26" i="6"/>
  <c r="M29" i="6"/>
  <c r="E30" i="6"/>
  <c r="N30" i="6" s="1"/>
  <c r="J31" i="6"/>
  <c r="M34" i="6"/>
  <c r="E35" i="6"/>
  <c r="N35" i="6" s="1"/>
  <c r="J36" i="6"/>
  <c r="K30" i="6"/>
  <c r="K2" i="6"/>
  <c r="N6" i="6"/>
  <c r="N7" i="6"/>
  <c r="M11" i="6"/>
  <c r="Q12" i="6"/>
  <c r="E12" i="6"/>
  <c r="O12" i="6" s="1"/>
  <c r="P14" i="6"/>
  <c r="M16" i="6"/>
  <c r="J18" i="6"/>
  <c r="P19" i="6"/>
  <c r="J23" i="6"/>
  <c r="M26" i="6"/>
  <c r="J28" i="6"/>
  <c r="L31" i="6"/>
  <c r="L36" i="6"/>
  <c r="S29" i="4" l="1"/>
  <c r="U29" i="4" s="1"/>
  <c r="K5" i="5"/>
  <c r="O35" i="6"/>
  <c r="K26" i="6"/>
  <c r="N36" i="6"/>
  <c r="S3" i="5"/>
  <c r="N21" i="5"/>
  <c r="K8" i="4"/>
  <c r="K9" i="5"/>
  <c r="O29" i="4"/>
  <c r="I7" i="6"/>
  <c r="I20" i="4"/>
  <c r="S20" i="4" s="1"/>
  <c r="U20" i="4" s="1"/>
  <c r="O5" i="5"/>
  <c r="N5" i="4"/>
  <c r="O19" i="4"/>
  <c r="G6" i="5"/>
  <c r="H6" i="5"/>
  <c r="O30" i="6"/>
  <c r="N9" i="5"/>
  <c r="K21" i="5"/>
  <c r="N2" i="4"/>
  <c r="K29" i="4"/>
  <c r="H11" i="6"/>
  <c r="G11" i="6"/>
  <c r="I11" i="6" s="1"/>
  <c r="S11" i="6" s="1"/>
  <c r="O34" i="5"/>
  <c r="K32" i="6"/>
  <c r="K19" i="5"/>
  <c r="N24" i="5"/>
  <c r="N29" i="5"/>
  <c r="S13" i="5"/>
  <c r="S21" i="4"/>
  <c r="U21" i="4" s="1"/>
  <c r="N19" i="5"/>
  <c r="I5" i="5"/>
  <c r="S5" i="5" s="1"/>
  <c r="G20" i="5"/>
  <c r="I20" i="5" s="1"/>
  <c r="H20" i="5"/>
  <c r="S37" i="6"/>
  <c r="D10" i="2" s="1"/>
  <c r="S30" i="4"/>
  <c r="S10" i="6"/>
  <c r="K20" i="5"/>
  <c r="S20" i="5" s="1"/>
  <c r="K29" i="5"/>
  <c r="N36" i="5"/>
  <c r="N6" i="5"/>
  <c r="G17" i="4"/>
  <c r="H17" i="4"/>
  <c r="O24" i="4"/>
  <c r="K24" i="4"/>
  <c r="N13" i="4"/>
  <c r="N22" i="5"/>
  <c r="S22" i="5" s="1"/>
  <c r="U22" i="5" s="1"/>
  <c r="S33" i="5"/>
  <c r="I13" i="4"/>
  <c r="S13" i="4" s="1"/>
  <c r="U13" i="4" s="1"/>
  <c r="N32" i="6"/>
  <c r="U9" i="4"/>
  <c r="K28" i="6"/>
  <c r="H25" i="4"/>
  <c r="I25" i="4" s="1"/>
  <c r="S25" i="4" s="1"/>
  <c r="U25" i="4" s="1"/>
  <c r="H5" i="4"/>
  <c r="I5" i="4" s="1"/>
  <c r="S5" i="4" s="1"/>
  <c r="U5" i="4" s="1"/>
  <c r="K5" i="4"/>
  <c r="O31" i="5"/>
  <c r="O6" i="5"/>
  <c r="K25" i="4"/>
  <c r="K37" i="4"/>
  <c r="G8" i="6"/>
  <c r="H8" i="6"/>
  <c r="H13" i="6"/>
  <c r="G13" i="6"/>
  <c r="I13" i="6" s="1"/>
  <c r="H17" i="6"/>
  <c r="G17" i="6"/>
  <c r="I17" i="6" s="1"/>
  <c r="H25" i="6"/>
  <c r="G25" i="6"/>
  <c r="O13" i="6"/>
  <c r="K25" i="6"/>
  <c r="I30" i="5"/>
  <c r="S30" i="5" s="1"/>
  <c r="K8" i="6"/>
  <c r="O27" i="4"/>
  <c r="H4" i="5"/>
  <c r="G4" i="5"/>
  <c r="O33" i="4"/>
  <c r="H11" i="5"/>
  <c r="G11" i="5"/>
  <c r="I11" i="5" s="1"/>
  <c r="N14" i="4"/>
  <c r="N35" i="4"/>
  <c r="S26" i="5"/>
  <c r="O16" i="6"/>
  <c r="S10" i="5"/>
  <c r="G28" i="5"/>
  <c r="I28" i="5" s="1"/>
  <c r="H28" i="5"/>
  <c r="N14" i="6"/>
  <c r="O8" i="6"/>
  <c r="O35" i="4"/>
  <c r="G32" i="5"/>
  <c r="H32" i="5"/>
  <c r="N20" i="6"/>
  <c r="H19" i="6"/>
  <c r="G19" i="6"/>
  <c r="H23" i="5"/>
  <c r="G23" i="5"/>
  <c r="I23" i="5" s="1"/>
  <c r="K12" i="6"/>
  <c r="S35" i="5"/>
  <c r="K13" i="6"/>
  <c r="H15" i="4"/>
  <c r="G15" i="4"/>
  <c r="I15" i="4" s="1"/>
  <c r="H9" i="5"/>
  <c r="G9" i="5"/>
  <c r="S34" i="4"/>
  <c r="U34" i="4" s="1"/>
  <c r="H7" i="5"/>
  <c r="G7" i="5"/>
  <c r="H12" i="5"/>
  <c r="G12" i="5"/>
  <c r="S4" i="4"/>
  <c r="U4" i="4" s="1"/>
  <c r="N8" i="6"/>
  <c r="H28" i="6"/>
  <c r="G28" i="6"/>
  <c r="S37" i="5"/>
  <c r="H34" i="6"/>
  <c r="G34" i="6"/>
  <c r="H27" i="6"/>
  <c r="G27" i="6"/>
  <c r="I27" i="6" s="1"/>
  <c r="G22" i="4"/>
  <c r="H22" i="4"/>
  <c r="G6" i="4"/>
  <c r="I6" i="4" s="1"/>
  <c r="S6" i="4" s="1"/>
  <c r="U6" i="4" s="1"/>
  <c r="H6" i="4"/>
  <c r="H5" i="6"/>
  <c r="G5" i="6"/>
  <c r="I5" i="6" s="1"/>
  <c r="G36" i="5"/>
  <c r="H36" i="5"/>
  <c r="H22" i="6"/>
  <c r="G22" i="6"/>
  <c r="G34" i="5"/>
  <c r="H34" i="5"/>
  <c r="O9" i="6"/>
  <c r="K14" i="4"/>
  <c r="N23" i="5"/>
  <c r="S14" i="5"/>
  <c r="B7" i="2"/>
  <c r="G33" i="4"/>
  <c r="H33" i="4"/>
  <c r="K20" i="6"/>
  <c r="S15" i="6"/>
  <c r="H11" i="4"/>
  <c r="G11" i="4"/>
  <c r="H27" i="5"/>
  <c r="G27" i="5"/>
  <c r="S7" i="6"/>
  <c r="H15" i="5"/>
  <c r="G15" i="5"/>
  <c r="N16" i="6"/>
  <c r="N12" i="6"/>
  <c r="O11" i="4"/>
  <c r="O6" i="4"/>
  <c r="K7" i="5"/>
  <c r="H33" i="6"/>
  <c r="G33" i="6"/>
  <c r="H24" i="6"/>
  <c r="G24" i="6"/>
  <c r="B35" i="5"/>
  <c r="B31" i="5"/>
  <c r="B27" i="5"/>
  <c r="B24" i="5"/>
  <c r="B20" i="5"/>
  <c r="B21" i="5"/>
  <c r="B17" i="5"/>
  <c r="B13" i="5"/>
  <c r="U13" i="5" s="1"/>
  <c r="B9" i="5"/>
  <c r="B5" i="5"/>
  <c r="B26" i="5"/>
  <c r="B23" i="5"/>
  <c r="B18" i="5"/>
  <c r="B14" i="5"/>
  <c r="B10" i="5"/>
  <c r="B6" i="5"/>
  <c r="B2" i="5"/>
  <c r="B25" i="5"/>
  <c r="B15" i="5"/>
  <c r="B11" i="5"/>
  <c r="B7" i="5"/>
  <c r="B3" i="5"/>
  <c r="U3" i="5" s="1"/>
  <c r="B37" i="5"/>
  <c r="B29" i="5"/>
  <c r="B36" i="5"/>
  <c r="B32" i="5"/>
  <c r="B28" i="5"/>
  <c r="B12" i="5"/>
  <c r="B30" i="5"/>
  <c r="U30" i="5" s="1"/>
  <c r="B8" i="5"/>
  <c r="B33" i="5"/>
  <c r="U33" i="5" s="1"/>
  <c r="B16" i="5"/>
  <c r="B19" i="5"/>
  <c r="B4" i="5"/>
  <c r="B34" i="5"/>
  <c r="C2" i="2"/>
  <c r="B22" i="5"/>
  <c r="G35" i="6"/>
  <c r="I35" i="6" s="1"/>
  <c r="S35" i="6" s="1"/>
  <c r="H35" i="6"/>
  <c r="O33" i="6"/>
  <c r="N19" i="6"/>
  <c r="O17" i="6"/>
  <c r="K17" i="6"/>
  <c r="S3" i="6"/>
  <c r="N27" i="6"/>
  <c r="G21" i="5"/>
  <c r="H21" i="5"/>
  <c r="K15" i="5"/>
  <c r="G2" i="4"/>
  <c r="K2" i="4"/>
  <c r="H2" i="4"/>
  <c r="K33" i="6"/>
  <c r="K19" i="6"/>
  <c r="O5" i="6"/>
  <c r="G24" i="5"/>
  <c r="H24" i="5"/>
  <c r="K22" i="6"/>
  <c r="O14" i="6"/>
  <c r="O23" i="5"/>
  <c r="N7" i="5"/>
  <c r="H32" i="4"/>
  <c r="G32" i="4"/>
  <c r="I32" i="4" s="1"/>
  <c r="S32" i="4" s="1"/>
  <c r="U32" i="4" s="1"/>
  <c r="O15" i="4"/>
  <c r="K32" i="5"/>
  <c r="K22" i="4"/>
  <c r="H37" i="4"/>
  <c r="G37" i="4"/>
  <c r="H23" i="6"/>
  <c r="G23" i="6"/>
  <c r="H31" i="6"/>
  <c r="G31" i="6"/>
  <c r="H27" i="4"/>
  <c r="G27" i="4"/>
  <c r="I27" i="4" s="1"/>
  <c r="G18" i="4"/>
  <c r="H18" i="4"/>
  <c r="K23" i="6"/>
  <c r="K24" i="6"/>
  <c r="H7" i="4"/>
  <c r="G7" i="4"/>
  <c r="N7" i="4"/>
  <c r="H29" i="5"/>
  <c r="G29" i="5"/>
  <c r="I29" i="5" s="1"/>
  <c r="S29" i="5" s="1"/>
  <c r="U29" i="5" s="1"/>
  <c r="H31" i="4"/>
  <c r="G31" i="4"/>
  <c r="K15" i="4"/>
  <c r="H35" i="4"/>
  <c r="G35" i="4"/>
  <c r="S6" i="6"/>
  <c r="K12" i="5"/>
  <c r="C7" i="2"/>
  <c r="O19" i="6"/>
  <c r="N11" i="5"/>
  <c r="H19" i="4"/>
  <c r="G19" i="4"/>
  <c r="K19" i="4"/>
  <c r="H21" i="6"/>
  <c r="G21" i="6"/>
  <c r="H20" i="6"/>
  <c r="G20" i="6"/>
  <c r="I20" i="6" s="1"/>
  <c r="S20" i="6" s="1"/>
  <c r="N23" i="6"/>
  <c r="H36" i="6"/>
  <c r="G36" i="6"/>
  <c r="I36" i="6" s="1"/>
  <c r="S36" i="6" s="1"/>
  <c r="H12" i="6"/>
  <c r="G12" i="6"/>
  <c r="H18" i="6"/>
  <c r="G18" i="6"/>
  <c r="O23" i="6"/>
  <c r="H9" i="6"/>
  <c r="G9" i="6"/>
  <c r="G25" i="5"/>
  <c r="H25" i="5"/>
  <c r="K31" i="6"/>
  <c r="K5" i="6"/>
  <c r="S2" i="5"/>
  <c r="N6" i="4"/>
  <c r="O27" i="5"/>
  <c r="O37" i="4"/>
  <c r="O22" i="6"/>
  <c r="H12" i="4"/>
  <c r="G12" i="4"/>
  <c r="I12" i="4" s="1"/>
  <c r="N12" i="4"/>
  <c r="O12" i="4"/>
  <c r="N21" i="6"/>
  <c r="N24" i="6"/>
  <c r="H19" i="5"/>
  <c r="G19" i="5"/>
  <c r="I19" i="5" s="1"/>
  <c r="S19" i="5" s="1"/>
  <c r="N25" i="5"/>
  <c r="N15" i="5"/>
  <c r="H16" i="4"/>
  <c r="G16" i="4"/>
  <c r="O18" i="4"/>
  <c r="G10" i="4"/>
  <c r="I10" i="4" s="1"/>
  <c r="H10" i="4"/>
  <c r="O24" i="6"/>
  <c r="H16" i="6"/>
  <c r="G16" i="6"/>
  <c r="H14" i="6"/>
  <c r="G14" i="6"/>
  <c r="G30" i="6"/>
  <c r="H30" i="6"/>
  <c r="O28" i="6"/>
  <c r="H29" i="6"/>
  <c r="G29" i="6"/>
  <c r="I29" i="6" s="1"/>
  <c r="N13" i="6"/>
  <c r="H4" i="6"/>
  <c r="G4" i="6"/>
  <c r="I4" i="6" s="1"/>
  <c r="H31" i="5"/>
  <c r="G31" i="5"/>
  <c r="N17" i="6"/>
  <c r="S2" i="6"/>
  <c r="U2" i="6" s="1"/>
  <c r="O27" i="6"/>
  <c r="H32" i="6"/>
  <c r="G32" i="6"/>
  <c r="N31" i="5"/>
  <c r="K36" i="6"/>
  <c r="N27" i="5"/>
  <c r="H24" i="4"/>
  <c r="G24" i="4"/>
  <c r="I24" i="4" s="1"/>
  <c r="O28" i="5"/>
  <c r="K6" i="4"/>
  <c r="K11" i="4"/>
  <c r="N29" i="6"/>
  <c r="O7" i="4"/>
  <c r="O22" i="4"/>
  <c r="O32" i="5"/>
  <c r="N15" i="4"/>
  <c r="S26" i="4"/>
  <c r="U26" i="4" s="1"/>
  <c r="O34" i="6"/>
  <c r="H26" i="6"/>
  <c r="G26" i="6"/>
  <c r="O26" i="6"/>
  <c r="U30" i="4"/>
  <c r="G14" i="4"/>
  <c r="H14" i="4"/>
  <c r="K23" i="5"/>
  <c r="H8" i="5"/>
  <c r="G8" i="5"/>
  <c r="O24" i="5"/>
  <c r="H16" i="5"/>
  <c r="G16" i="5"/>
  <c r="S36" i="4"/>
  <c r="U36" i="4" s="1"/>
  <c r="H3" i="4"/>
  <c r="G3" i="4"/>
  <c r="I3" i="4" s="1"/>
  <c r="N3" i="4"/>
  <c r="O3" i="4"/>
  <c r="S18" i="5"/>
  <c r="U18" i="5" s="1"/>
  <c r="O36" i="5"/>
  <c r="O8" i="4"/>
  <c r="K27" i="4"/>
  <c r="N4" i="6"/>
  <c r="N34" i="6"/>
  <c r="O11" i="5"/>
  <c r="K28" i="5"/>
  <c r="S17" i="5"/>
  <c r="U17" i="5" s="1"/>
  <c r="N33" i="4"/>
  <c r="B35" i="6"/>
  <c r="B31" i="6"/>
  <c r="B27" i="6"/>
  <c r="B23" i="6"/>
  <c r="B19" i="6"/>
  <c r="B15" i="6"/>
  <c r="B11" i="6"/>
  <c r="U11" i="6" s="1"/>
  <c r="B7" i="6"/>
  <c r="B3" i="6"/>
  <c r="B34" i="6"/>
  <c r="B29" i="6"/>
  <c r="B24" i="6"/>
  <c r="B14" i="6"/>
  <c r="B37" i="6"/>
  <c r="U37" i="6" s="1"/>
  <c r="B32" i="6"/>
  <c r="B30" i="6"/>
  <c r="B25" i="6"/>
  <c r="B20" i="6"/>
  <c r="B33" i="6"/>
  <c r="B28" i="6"/>
  <c r="B18" i="6"/>
  <c r="B13" i="6"/>
  <c r="B8" i="6"/>
  <c r="B36" i="6"/>
  <c r="B26" i="6"/>
  <c r="B21" i="6"/>
  <c r="B16" i="6"/>
  <c r="B22" i="6"/>
  <c r="B9" i="6"/>
  <c r="B17" i="6"/>
  <c r="B10" i="6"/>
  <c r="U10" i="6" s="1"/>
  <c r="B12" i="6"/>
  <c r="B6" i="6"/>
  <c r="B5" i="6"/>
  <c r="B2" i="6"/>
  <c r="B4" i="6"/>
  <c r="D2" i="2"/>
  <c r="H8" i="4"/>
  <c r="G8" i="4"/>
  <c r="O4" i="6"/>
  <c r="H23" i="4"/>
  <c r="G23" i="4"/>
  <c r="I23" i="4" s="1"/>
  <c r="S23" i="4" s="1"/>
  <c r="U23" i="4" s="1"/>
  <c r="N10" i="4"/>
  <c r="K10" i="4"/>
  <c r="I12" i="6" l="1"/>
  <c r="U19" i="5"/>
  <c r="I34" i="6"/>
  <c r="I9" i="5"/>
  <c r="S9" i="5" s="1"/>
  <c r="I25" i="6"/>
  <c r="U36" i="6"/>
  <c r="I31" i="5"/>
  <c r="I16" i="6"/>
  <c r="S16" i="6" s="1"/>
  <c r="I28" i="6"/>
  <c r="I17" i="4"/>
  <c r="S17" i="4" s="1"/>
  <c r="U17" i="4" s="1"/>
  <c r="S24" i="4"/>
  <c r="U24" i="4" s="1"/>
  <c r="U35" i="5"/>
  <c r="S4" i="6"/>
  <c r="U4" i="6" s="1"/>
  <c r="I18" i="4"/>
  <c r="S18" i="4" s="1"/>
  <c r="U18" i="4" s="1"/>
  <c r="I6" i="5"/>
  <c r="S6" i="5" s="1"/>
  <c r="U6" i="5" s="1"/>
  <c r="S29" i="6"/>
  <c r="U29" i="6" s="1"/>
  <c r="U10" i="5"/>
  <c r="S23" i="5"/>
  <c r="U23" i="5" s="1"/>
  <c r="I8" i="5"/>
  <c r="S8" i="5" s="1"/>
  <c r="U8" i="5" s="1"/>
  <c r="I31" i="6"/>
  <c r="S31" i="6" s="1"/>
  <c r="U31" i="6" s="1"/>
  <c r="I27" i="5"/>
  <c r="I22" i="4"/>
  <c r="S22" i="4" s="1"/>
  <c r="U22" i="4" s="1"/>
  <c r="I7" i="5"/>
  <c r="S7" i="5" s="1"/>
  <c r="U7" i="5" s="1"/>
  <c r="I19" i="6"/>
  <c r="S19" i="6" s="1"/>
  <c r="U19" i="6" s="1"/>
  <c r="I8" i="4"/>
  <c r="S8" i="4" s="1"/>
  <c r="U8" i="4" s="1"/>
  <c r="I21" i="5"/>
  <c r="S21" i="5" s="1"/>
  <c r="U21" i="5" s="1"/>
  <c r="I11" i="4"/>
  <c r="S11" i="4" s="1"/>
  <c r="U11" i="4" s="1"/>
  <c r="I16" i="5"/>
  <c r="S16" i="5" s="1"/>
  <c r="U16" i="5" s="1"/>
  <c r="I7" i="4"/>
  <c r="S7" i="4" s="1"/>
  <c r="U7" i="4" s="1"/>
  <c r="I37" i="4"/>
  <c r="S37" i="4" s="1"/>
  <c r="I33" i="6"/>
  <c r="S33" i="6" s="1"/>
  <c r="U33" i="6" s="1"/>
  <c r="I12" i="5"/>
  <c r="S12" i="5" s="1"/>
  <c r="U12" i="5" s="1"/>
  <c r="I4" i="5"/>
  <c r="S4" i="5" s="1"/>
  <c r="U4" i="5" s="1"/>
  <c r="I25" i="5"/>
  <c r="S25" i="5" s="1"/>
  <c r="U25" i="5" s="1"/>
  <c r="U20" i="6"/>
  <c r="I24" i="5"/>
  <c r="S24" i="5" s="1"/>
  <c r="U24" i="5" s="1"/>
  <c r="I34" i="5"/>
  <c r="S34" i="5" s="1"/>
  <c r="U34" i="5" s="1"/>
  <c r="S12" i="4"/>
  <c r="U12" i="4" s="1"/>
  <c r="U20" i="5"/>
  <c r="U6" i="6"/>
  <c r="U15" i="6"/>
  <c r="S27" i="6"/>
  <c r="U27" i="6" s="1"/>
  <c r="I8" i="6"/>
  <c r="S8" i="6" s="1"/>
  <c r="U8" i="6" s="1"/>
  <c r="I32" i="6"/>
  <c r="S32" i="6" s="1"/>
  <c r="U32" i="6" s="1"/>
  <c r="I16" i="4"/>
  <c r="S16" i="4" s="1"/>
  <c r="U16" i="4" s="1"/>
  <c r="I9" i="6"/>
  <c r="S9" i="6" s="1"/>
  <c r="U9" i="6" s="1"/>
  <c r="I21" i="6"/>
  <c r="S21" i="6" s="1"/>
  <c r="U21" i="6" s="1"/>
  <c r="I35" i="4"/>
  <c r="S35" i="4" s="1"/>
  <c r="U35" i="4" s="1"/>
  <c r="I22" i="6"/>
  <c r="S22" i="6" s="1"/>
  <c r="U22" i="6" s="1"/>
  <c r="U26" i="5"/>
  <c r="S34" i="6"/>
  <c r="U34" i="6" s="1"/>
  <c r="I30" i="6"/>
  <c r="S30" i="6" s="1"/>
  <c r="U30" i="6" s="1"/>
  <c r="S27" i="4"/>
  <c r="U27" i="4" s="1"/>
  <c r="U9" i="5"/>
  <c r="I14" i="4"/>
  <c r="S14" i="4" s="1"/>
  <c r="U14" i="4" s="1"/>
  <c r="V2" i="6"/>
  <c r="I14" i="6"/>
  <c r="S14" i="6" s="1"/>
  <c r="U14" i="6" s="1"/>
  <c r="I18" i="6"/>
  <c r="S18" i="6" s="1"/>
  <c r="U18" i="6" s="1"/>
  <c r="I19" i="4"/>
  <c r="S19" i="4" s="1"/>
  <c r="U19" i="4" s="1"/>
  <c r="I31" i="4"/>
  <c r="S31" i="4" s="1"/>
  <c r="U31" i="4" s="1"/>
  <c r="I15" i="5"/>
  <c r="S15" i="5" s="1"/>
  <c r="U15" i="5" s="1"/>
  <c r="I33" i="4"/>
  <c r="S33" i="4" s="1"/>
  <c r="U33" i="4" s="1"/>
  <c r="I36" i="5"/>
  <c r="S36" i="5" s="1"/>
  <c r="U36" i="5" s="1"/>
  <c r="U37" i="5"/>
  <c r="C10" i="2"/>
  <c r="I32" i="5"/>
  <c r="S32" i="5" s="1"/>
  <c r="U32" i="5" s="1"/>
  <c r="S11" i="5"/>
  <c r="U11" i="5" s="1"/>
  <c r="S25" i="6"/>
  <c r="U25" i="6" s="1"/>
  <c r="S28" i="5"/>
  <c r="U28" i="5" s="1"/>
  <c r="I2" i="4"/>
  <c r="S2" i="4" s="1"/>
  <c r="U35" i="6"/>
  <c r="S5" i="6"/>
  <c r="U5" i="6" s="1"/>
  <c r="S28" i="6"/>
  <c r="U28" i="6" s="1"/>
  <c r="S15" i="4"/>
  <c r="U15" i="4" s="1"/>
  <c r="S10" i="4"/>
  <c r="U10" i="4" s="1"/>
  <c r="U3" i="6"/>
  <c r="V5" i="6" s="1"/>
  <c r="S31" i="5"/>
  <c r="U31" i="5" s="1"/>
  <c r="U16" i="6"/>
  <c r="S12" i="6"/>
  <c r="U12" i="6" s="1"/>
  <c r="U14" i="5"/>
  <c r="U5" i="5"/>
  <c r="S17" i="6"/>
  <c r="U17" i="6" s="1"/>
  <c r="S3" i="4"/>
  <c r="U3" i="4" s="1"/>
  <c r="I26" i="6"/>
  <c r="S26" i="6" s="1"/>
  <c r="U26" i="6" s="1"/>
  <c r="U2" i="5"/>
  <c r="I23" i="6"/>
  <c r="S23" i="6" s="1"/>
  <c r="U23" i="6" s="1"/>
  <c r="I24" i="6"/>
  <c r="S24" i="6" s="1"/>
  <c r="U24" i="6" s="1"/>
  <c r="U7" i="6"/>
  <c r="S27" i="5"/>
  <c r="U27" i="5" s="1"/>
  <c r="S13" i="6"/>
  <c r="U13" i="6" s="1"/>
  <c r="D5" i="2" l="1"/>
  <c r="D4" i="2"/>
  <c r="V23" i="6"/>
  <c r="V18" i="6"/>
  <c r="V29" i="6"/>
  <c r="V30" i="6"/>
  <c r="V19" i="6"/>
  <c r="V28" i="6"/>
  <c r="V24" i="6"/>
  <c r="D8" i="2"/>
  <c r="D9" i="2" s="1"/>
  <c r="V14" i="6"/>
  <c r="D3" i="2"/>
  <c r="V35" i="6"/>
  <c r="V33" i="6"/>
  <c r="V12" i="6"/>
  <c r="V16" i="6"/>
  <c r="V15" i="6"/>
  <c r="V26" i="6"/>
  <c r="V6" i="6"/>
  <c r="V36" i="5"/>
  <c r="V31" i="5"/>
  <c r="V26" i="5"/>
  <c r="V37" i="5"/>
  <c r="V32" i="5"/>
  <c r="V27" i="5"/>
  <c r="V35" i="5"/>
  <c r="V33" i="5"/>
  <c r="V28" i="5"/>
  <c r="V22" i="5"/>
  <c r="V18" i="5"/>
  <c r="V34" i="5"/>
  <c r="V20" i="5"/>
  <c r="V30" i="5"/>
  <c r="V16" i="5"/>
  <c r="V12" i="5"/>
  <c r="V8" i="5"/>
  <c r="V4" i="5"/>
  <c r="V19" i="5"/>
  <c r="V21" i="5"/>
  <c r="C5" i="2"/>
  <c r="V11" i="5"/>
  <c r="V5" i="5"/>
  <c r="V29" i="5"/>
  <c r="V25" i="5"/>
  <c r="V13" i="5"/>
  <c r="V6" i="5"/>
  <c r="C4" i="2"/>
  <c r="V23" i="5"/>
  <c r="V14" i="5"/>
  <c r="V7" i="5"/>
  <c r="V15" i="5"/>
  <c r="V9" i="5"/>
  <c r="V3" i="5"/>
  <c r="V17" i="5"/>
  <c r="V2" i="5"/>
  <c r="V10" i="5"/>
  <c r="V24" i="5"/>
  <c r="C3" i="2"/>
  <c r="V3" i="6"/>
  <c r="V11" i="6"/>
  <c r="V20" i="6"/>
  <c r="V27" i="6"/>
  <c r="V21" i="6"/>
  <c r="V10" i="6"/>
  <c r="V8" i="6"/>
  <c r="V31" i="6"/>
  <c r="V7" i="6"/>
  <c r="V37" i="6"/>
  <c r="V22" i="6"/>
  <c r="V13" i="6"/>
  <c r="V4" i="6"/>
  <c r="V36" i="6"/>
  <c r="C8" i="2"/>
  <c r="C9" i="2" s="1"/>
  <c r="U37" i="4"/>
  <c r="B10" i="2"/>
  <c r="V34" i="6"/>
  <c r="V17" i="6"/>
  <c r="V32" i="6"/>
  <c r="U2" i="4"/>
  <c r="B8" i="2"/>
  <c r="B9" i="2" s="1"/>
  <c r="V25" i="6"/>
  <c r="V9" i="6"/>
  <c r="D6" i="2" l="1"/>
  <c r="V36" i="4"/>
  <c r="V32" i="4"/>
  <c r="V28" i="4"/>
  <c r="V24" i="4"/>
  <c r="V23" i="4"/>
  <c r="V27" i="4"/>
  <c r="B5" i="2"/>
  <c r="V20" i="4"/>
  <c r="V16" i="4"/>
  <c r="V12" i="4"/>
  <c r="V8" i="4"/>
  <c r="V4" i="4"/>
  <c r="V29" i="4"/>
  <c r="V26" i="4"/>
  <c r="B4" i="2"/>
  <c r="V21" i="4"/>
  <c r="V17" i="4"/>
  <c r="V13" i="4"/>
  <c r="V9" i="4"/>
  <c r="V5" i="4"/>
  <c r="V37" i="4"/>
  <c r="V31" i="4"/>
  <c r="V22" i="4"/>
  <c r="V18" i="4"/>
  <c r="V14" i="4"/>
  <c r="V10" i="4"/>
  <c r="V6" i="4"/>
  <c r="V2" i="4"/>
  <c r="V30" i="4"/>
  <c r="V19" i="4"/>
  <c r="V15" i="4"/>
  <c r="V11" i="4"/>
  <c r="V35" i="4"/>
  <c r="V34" i="4"/>
  <c r="V25" i="4"/>
  <c r="V7" i="4"/>
  <c r="V3" i="4"/>
  <c r="V33" i="4"/>
  <c r="B3" i="2"/>
  <c r="C6" i="2"/>
  <c r="B6" i="2" l="1"/>
</calcChain>
</file>

<file path=xl/sharedStrings.xml><?xml version="1.0" encoding="utf-8"?>
<sst xmlns="http://schemas.openxmlformats.org/spreadsheetml/2006/main" count="283" uniqueCount="198">
  <si>
    <t>Modelo financiero ERV — Vox-Causal AI en Alloxentric SpA (GBP, 36 meses, flujos a fin de mes)</t>
  </si>
  <si>
    <t>Verde = dato del caso. Amarillo = supuesto de modelación (ver columna Fuente). Cambie las celdas para recalcular.</t>
  </si>
  <si>
    <t>Parámetro</t>
  </si>
  <si>
    <t>Optimista</t>
  </si>
  <si>
    <t>Base</t>
  </si>
  <si>
    <t>Pesimista</t>
  </si>
  <si>
    <t>Unidad</t>
  </si>
  <si>
    <t>Fuente / justificación</t>
  </si>
  <si>
    <t>Horas-hombre de integración</t>
  </si>
  <si>
    <t>HH</t>
  </si>
  <si>
    <t>Caso PIA (800 HH); pesimista +25 % de desvío</t>
  </si>
  <si>
    <t>Tarifa diaria de ingeniería MLOps</t>
  </si>
  <si>
    <t>£/día</t>
  </si>
  <si>
    <t>itjobswatch UK MLOps (6 meses a 27-10-2026): p10 £425, mediana £550, p90 £775</t>
  </si>
  <si>
    <t>Reducción del TTR</t>
  </si>
  <si>
    <t>fracción</t>
  </si>
  <si>
    <t>Caso PIA (15 %)</t>
  </si>
  <si>
    <t>Recargo sobre suscripción</t>
  </si>
  <si>
    <t>Caso PIA (20 %)</t>
  </si>
  <si>
    <t>Llamadas concurrentes objetivo</t>
  </si>
  <si>
    <t>llamadas</t>
  </si>
  <si>
    <t>Caso PIA (KPI 1.500)</t>
  </si>
  <si>
    <t>Reserva de contingencia sobre el CAPEX</t>
  </si>
  <si>
    <t>Supuesto: 10 % del BAC (línea base EVM del caso)</t>
  </si>
  <si>
    <t>CAPEX ejecutado en el mes 1</t>
  </si>
  <si>
    <t>PV acumulada del EVM a la semana 4 (35,33 %)</t>
  </si>
  <si>
    <t>CAPEX ejecutado en el mes 2</t>
  </si>
  <si>
    <t>PV semanas 5-8 del EVM (43,42 %)</t>
  </si>
  <si>
    <t>CAPEX ejecutado en el mes 3</t>
  </si>
  <si>
    <t>PV semanas 9-12 del EVM (21,25 %)</t>
  </si>
  <si>
    <t>Mes de puesta en producción</t>
  </si>
  <si>
    <t>mes</t>
  </si>
  <si>
    <t>Supuesto: integración de 12 semanas (meses 1-3)</t>
  </si>
  <si>
    <t>Inicio de la adopción comercial</t>
  </si>
  <si>
    <t>Supuesto</t>
  </si>
  <si>
    <t>Fin de la rampa de adopción</t>
  </si>
  <si>
    <t>Supuesto: lineal de 10 % a 100 % del objetivo</t>
  </si>
  <si>
    <t>Puestos licenciados que atienden la voz</t>
  </si>
  <si>
    <t>puestos</t>
  </si>
  <si>
    <t>Supuesto: 1.500 concurrentes con ocupación ≈ 75 %</t>
  </si>
  <si>
    <t>Adopción del módulo (fracción de puestos)</t>
  </si>
  <si>
    <t>Supuesto (no informado por Alloxentric)</t>
  </si>
  <si>
    <t>Precio base mensual por puesto</t>
  </si>
  <si>
    <t>£/puesto/mes</t>
  </si>
  <si>
    <t>Supuesto (no informado); ver punto de equilibrio</t>
  </si>
  <si>
    <t>Concurrencia media en horario hábil / pico</t>
  </si>
  <si>
    <t>Supuesto (12 h/día)</t>
  </si>
  <si>
    <t>Concurrencia media fuera de horario / pico</t>
  </si>
  <si>
    <t>Tiempo medio de manejo (AHT)</t>
  </si>
  <si>
    <t>min</t>
  </si>
  <si>
    <t>CCMA Benchmark 2025: 9 min 13 s</t>
  </si>
  <si>
    <t>Llamadas por réplica de 1 vCPU</t>
  </si>
  <si>
    <t>Base: tope documentado por el equipo (180, EVIDENCIA.md); pesimista: capacidad estable reproducida (100)</t>
  </si>
  <si>
    <t>Réplicas de redundancia</t>
  </si>
  <si>
    <t>réplicas</t>
  </si>
  <si>
    <t>Diseño del equipo: N+1</t>
  </si>
  <si>
    <t>Réplicas mínimas</t>
  </si>
  <si>
    <t>Alta disponibilidad: mínimo 2 (rango del equipo 1–10)</t>
  </si>
  <si>
    <t>vCPU por réplica</t>
  </si>
  <si>
    <t>vCPU</t>
  </si>
  <si>
    <t>Diseño del equipo</t>
  </si>
  <si>
    <t>Memoria por réplica</t>
  </si>
  <si>
    <t>GiB</t>
  </si>
  <si>
    <t>Supuesto (perfil 1 vCPU / 2 GiB)</t>
  </si>
  <si>
    <t>Audio almacenado por minuto</t>
  </si>
  <si>
    <t>MB/min</t>
  </si>
  <si>
    <t>Supuesto: G.711 a 64 kbit/s</t>
  </si>
  <si>
    <t>Retención de grabaciones</t>
  </si>
  <si>
    <t>días</t>
  </si>
  <si>
    <t>Política de la PoC (UK GDPR)</t>
  </si>
  <si>
    <t>Mensajes Service Bus por llamada</t>
  </si>
  <si>
    <t>mensajes</t>
  </si>
  <si>
    <t>Tokens de entrada por llamada (Azure OpenAI)</t>
  </si>
  <si>
    <t>tokens</t>
  </si>
  <si>
    <t>Supuesto: una explicación por llamada</t>
  </si>
  <si>
    <t>Tokens de salida por llamada</t>
  </si>
  <si>
    <t>Datos derivados por llamada</t>
  </si>
  <si>
    <t>KB</t>
  </si>
  <si>
    <t>Supuesto (rasgos + resultado causal)</t>
  </si>
  <si>
    <t>Retención de datos derivados</t>
  </si>
  <si>
    <t>meses</t>
  </si>
  <si>
    <t>Escrituras Blob por llamada</t>
  </si>
  <si>
    <t>ops</t>
  </si>
  <si>
    <t>Telemetría ingerida</t>
  </si>
  <si>
    <t>GB/mes</t>
  </si>
  <si>
    <t>Supuesto (5 GB/mes gratuitos)</t>
  </si>
  <si>
    <t>Unidades Service Bus Premium</t>
  </si>
  <si>
    <t>MU</t>
  </si>
  <si>
    <t>Arquitectura objetivo: Private Endpoints exigen Premium (con Premium no se cobra Standard)</t>
  </si>
  <si>
    <t>Unidades APIM Standard v2</t>
  </si>
  <si>
    <t>unidades</t>
  </si>
  <si>
    <t>Arquitectura objetivo: gateway dedicado con soporte WebSocket</t>
  </si>
  <si>
    <t>Horas MLOps mensuales de operación</t>
  </si>
  <si>
    <t>h/mes</t>
  </si>
  <si>
    <t>Supuesto (recalibración, monitoreo, soporte)</t>
  </si>
  <si>
    <t>Factor sobre costo cloud</t>
  </si>
  <si>
    <t>factor</t>
  </si>
  <si>
    <t>Supuesto de escenario</t>
  </si>
  <si>
    <t>Tasa de descuento anual</t>
  </si>
  <si>
    <t>Damodaran ene-2026, Europa, Software (System &amp; Application) 8,70 % + 3,3 pp</t>
  </si>
  <si>
    <t>Derivados</t>
  </si>
  <si>
    <t>Tarifa por hora (día de 7,5 h)</t>
  </si>
  <si>
    <t>£/h</t>
  </si>
  <si>
    <t>CAPEX total (con reserva)</t>
  </si>
  <si>
    <t>£</t>
  </si>
  <si>
    <t>Llamadas/mes con 100 % de los puestos</t>
  </si>
  <si>
    <t>Réplicas en el pico de 1.500 llamadas</t>
  </si>
  <si>
    <t>Precio por réplica-hora</t>
  </si>
  <si>
    <t>Tasa de descuento mensual</t>
  </si>
  <si>
    <t>Indicador</t>
  </si>
  <si>
    <t>Fórmula</t>
  </si>
  <si>
    <t>CAPEX (£)</t>
  </si>
  <si>
    <t>HH × tarifa por hora</t>
  </si>
  <si>
    <t>VAN 36 meses (£)</t>
  </si>
  <si>
    <t>VNA(tasa mensual; flujos netos meses 1-36)</t>
  </si>
  <si>
    <t>TIR mensual</t>
  </si>
  <si>
    <t>TIR de los flujos mensuales</t>
  </si>
  <si>
    <t>TIR anual equivalente</t>
  </si>
  <si>
    <t>(1+TIR mensual)^12 − 1</t>
  </si>
  <si>
    <t>Mes de recuperación (payback simple)</t>
  </si>
  <si>
    <t>Primer mes con flujo acumulado ≥ 0</t>
  </si>
  <si>
    <t>VP ingresos (£)</t>
  </si>
  <si>
    <t>VP costos CAPEX + OPEX (£)</t>
  </si>
  <si>
    <t>Relación B/C</t>
  </si>
  <si>
    <t>VP ingresos / VP costos</t>
  </si>
  <si>
    <t>OPEX mes 36 (£)</t>
  </si>
  <si>
    <t>Ingreso mes 36 (£)</t>
  </si>
  <si>
    <t>Medidor (uksouth, lista minorista)</t>
  </si>
  <si>
    <t>USD</t>
  </si>
  <si>
    <t>GBP</t>
  </si>
  <si>
    <t>Fuente</t>
  </si>
  <si>
    <t>Tipo de cambio implícito GBP/USD</t>
  </si>
  <si>
    <t>GBP por USD</t>
  </si>
  <si>
    <t>Lista GBP de Azure: Service Bus Premium 0,70/0,9275 = APIM Standard v2 0,7237/0,9589</t>
  </si>
  <si>
    <t>Container Apps consumo — vCPU activa</t>
  </si>
  <si>
    <t>1 segundo</t>
  </si>
  <si>
    <t>https://prices.azure.com/api/retail/prices (consultado 27-10-2026)</t>
  </si>
  <si>
    <t>Container Apps consumo — memoria activa</t>
  </si>
  <si>
    <t>1 GiB-segundo</t>
  </si>
  <si>
    <t>Container Registry Basic</t>
  </si>
  <si>
    <t>1 día</t>
  </si>
  <si>
    <t>Service Bus Standard — unidad base</t>
  </si>
  <si>
    <t>1 mes</t>
  </si>
  <si>
    <t>Service Bus Standard — operaciones 13M–100M</t>
  </si>
  <si>
    <t>1 millón</t>
  </si>
  <si>
    <t>Service Bus Premium — unidad de mensajería</t>
  </si>
  <si>
    <t>1 hora</t>
  </si>
  <si>
    <t>API Management Standard v2 — unidad</t>
  </si>
  <si>
    <t>Azure OpenAI gpt-4o-mini (global) — entrada</t>
  </si>
  <si>
    <t>1K tokens</t>
  </si>
  <si>
    <t>Azure OpenAI gpt-4o-mini (global) — salida</t>
  </si>
  <si>
    <t>Blob Storage Hot LRS — almacenamiento</t>
  </si>
  <si>
    <t>1 GB/mes</t>
  </si>
  <si>
    <t>Blob Storage Hot LRS — escrituras</t>
  </si>
  <si>
    <t>10K ops</t>
  </si>
  <si>
    <t>Log Analytics — ingesta</t>
  </si>
  <si>
    <t>1 GB</t>
  </si>
  <si>
    <t>Mes</t>
  </si>
  <si>
    <t>CAPEX</t>
  </si>
  <si>
    <t>Curva adopción</t>
  </si>
  <si>
    <t>Puestos con módulo</t>
  </si>
  <si>
    <t>Uso relativo</t>
  </si>
  <si>
    <t>En operación</t>
  </si>
  <si>
    <t>Réplicas horario hábil</t>
  </si>
  <si>
    <t>Réplicas fuera de horario</t>
  </si>
  <si>
    <t>API inferencia</t>
  </si>
  <si>
    <t>Jobs batch</t>
  </si>
  <si>
    <t>Service Bus Std</t>
  </si>
  <si>
    <t>Service Bus Premium</t>
  </si>
  <si>
    <t>APIM</t>
  </si>
  <si>
    <t>Azure OpenAI</t>
  </si>
  <si>
    <t>Blob (audio + resultados)</t>
  </si>
  <si>
    <t>Container Registry</t>
  </si>
  <si>
    <t>Log Analytics</t>
  </si>
  <si>
    <t>MLOps</t>
  </si>
  <si>
    <t>OPEX total</t>
  </si>
  <si>
    <t>Ingresos (recargo)</t>
  </si>
  <si>
    <t>Flujo neto</t>
  </si>
  <si>
    <t>Flujo acumulado</t>
  </si>
  <si>
    <t>Sensibilidad del VAN — escenario Base (valores calculados con model.py; variación ±20 % de cada variable)</t>
  </si>
  <si>
    <t>Variable</t>
  </si>
  <si>
    <t>VAN con −20 % (£)</t>
  </si>
  <si>
    <t>VAN con +20 % (£)</t>
  </si>
  <si>
    <t>Rango (£)</t>
  </si>
  <si>
    <t>Precio base por puesto</t>
  </si>
  <si>
    <t>Adopción del módulo</t>
  </si>
  <si>
    <t>Tarifa de ingeniería (CAPEX y MLOps)</t>
  </si>
  <si>
    <t>Horas de integración</t>
  </si>
  <si>
    <t>Tasa de descuento</t>
  </si>
  <si>
    <t>Costo cloud</t>
  </si>
  <si>
    <t>Horas MLOps mensuales</t>
  </si>
  <si>
    <t>Capacidad por réplica</t>
  </si>
  <si>
    <t>Punto de equilibrio (VAN = 0)</t>
  </si>
  <si>
    <t>Valor</t>
  </si>
  <si>
    <t>Precio base por puesto, escenario Base (£/mes)</t>
  </si>
  <si>
    <t>Adopción mínima, escenario Base</t>
  </si>
  <si>
    <t>Precio base por puesto, escenario Pesimista (£/mes)</t>
  </si>
  <si>
    <t>VAN Base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</si>
</sst>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3"/>
      <color rgb="FF1B3A5F"/>
      <name val="Calibri"/>
    </font>
    <font>
      <b/>
      <sz val="11"/>
      <color rgb="FFFFFFFF"/>
      <name val="Calibri"/>
    </font>
    <font>
      <b/>
      <sz val="11"/>
      <color rgb="FF1B3A5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A5F"/>
      </patternFill>
    </fill>
    <fill>
      <patternFill patternType="solid">
        <fgColor rgb="FFE6F4EA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3" fillId="0" borderId="0" xfId="0" applyFont="1"/>
    <xf numFmtId="4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cols>
    <col min="1" max="1" width="46" customWidth="1"/>
    <col min="2" max="5" width="13" customWidth="1"/>
    <col min="6" max="6" width="90" customWidth="1"/>
  </cols>
  <sheetData>
    <row r="1" spans="1:6" ht="17.25" x14ac:dyDescent="0.3">
      <c r="A1" s="1" t="s">
        <v>0</v>
      </c>
    </row>
    <row r="2" spans="1:6" x14ac:dyDescent="0.25">
      <c r="A2" t="s">
        <v>1</v>
      </c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t="s">
        <v>8</v>
      </c>
      <c r="B5" s="3">
        <v>800</v>
      </c>
      <c r="C5" s="3">
        <v>800</v>
      </c>
      <c r="D5" s="3">
        <v>1000</v>
      </c>
      <c r="E5" t="s">
        <v>9</v>
      </c>
      <c r="F5" t="s">
        <v>10</v>
      </c>
    </row>
    <row r="6" spans="1:6" x14ac:dyDescent="0.25">
      <c r="A6" t="s">
        <v>11</v>
      </c>
      <c r="B6" s="4">
        <v>425</v>
      </c>
      <c r="C6" s="4">
        <v>550</v>
      </c>
      <c r="D6" s="4">
        <v>775</v>
      </c>
      <c r="E6" t="s">
        <v>12</v>
      </c>
      <c r="F6" t="s">
        <v>13</v>
      </c>
    </row>
    <row r="7" spans="1:6" x14ac:dyDescent="0.25">
      <c r="A7" t="s">
        <v>14</v>
      </c>
      <c r="B7" s="3">
        <v>0.15</v>
      </c>
      <c r="C7" s="3">
        <v>0.15</v>
      </c>
      <c r="D7" s="3">
        <v>0.15</v>
      </c>
      <c r="E7" t="s">
        <v>15</v>
      </c>
      <c r="F7" t="s">
        <v>16</v>
      </c>
    </row>
    <row r="8" spans="1:6" x14ac:dyDescent="0.25">
      <c r="A8" t="s">
        <v>17</v>
      </c>
      <c r="B8" s="3">
        <v>0.2</v>
      </c>
      <c r="C8" s="3">
        <v>0.2</v>
      </c>
      <c r="D8" s="3">
        <v>0.2</v>
      </c>
      <c r="E8" t="s">
        <v>15</v>
      </c>
      <c r="F8" t="s">
        <v>18</v>
      </c>
    </row>
    <row r="9" spans="1:6" x14ac:dyDescent="0.25">
      <c r="A9" t="s">
        <v>19</v>
      </c>
      <c r="B9" s="3">
        <v>1500</v>
      </c>
      <c r="C9" s="3">
        <v>1500</v>
      </c>
      <c r="D9" s="3">
        <v>1500</v>
      </c>
      <c r="E9" t="s">
        <v>20</v>
      </c>
      <c r="F9" t="s">
        <v>21</v>
      </c>
    </row>
    <row r="10" spans="1:6" x14ac:dyDescent="0.25">
      <c r="A10" t="s">
        <v>22</v>
      </c>
      <c r="B10" s="4">
        <v>0.1</v>
      </c>
      <c r="C10" s="4">
        <v>0.1</v>
      </c>
      <c r="D10" s="4">
        <v>0.1</v>
      </c>
      <c r="E10" t="s">
        <v>15</v>
      </c>
      <c r="F10" t="s">
        <v>23</v>
      </c>
    </row>
    <row r="11" spans="1:6" x14ac:dyDescent="0.25">
      <c r="A11" t="s">
        <v>24</v>
      </c>
      <c r="B11" s="4">
        <v>0.3533</v>
      </c>
      <c r="C11" s="4">
        <v>0.3533</v>
      </c>
      <c r="D11" s="4">
        <v>0.3533</v>
      </c>
      <c r="E11" t="s">
        <v>15</v>
      </c>
      <c r="F11" t="s">
        <v>25</v>
      </c>
    </row>
    <row r="12" spans="1:6" x14ac:dyDescent="0.25">
      <c r="A12" t="s">
        <v>26</v>
      </c>
      <c r="B12" s="4">
        <v>0.43419999999999997</v>
      </c>
      <c r="C12" s="4">
        <v>0.43419999999999997</v>
      </c>
      <c r="D12" s="4">
        <v>0.43419999999999997</v>
      </c>
      <c r="E12" t="s">
        <v>15</v>
      </c>
      <c r="F12" t="s">
        <v>27</v>
      </c>
    </row>
    <row r="13" spans="1:6" x14ac:dyDescent="0.25">
      <c r="A13" t="s">
        <v>28</v>
      </c>
      <c r="B13" s="4">
        <v>0.21249999999999999</v>
      </c>
      <c r="C13" s="4">
        <v>0.21249999999999999</v>
      </c>
      <c r="D13" s="4">
        <v>0.21249999999999999</v>
      </c>
      <c r="E13" t="s">
        <v>15</v>
      </c>
      <c r="F13" t="s">
        <v>29</v>
      </c>
    </row>
    <row r="14" spans="1:6" x14ac:dyDescent="0.25">
      <c r="A14" t="s">
        <v>30</v>
      </c>
      <c r="B14" s="4">
        <v>4</v>
      </c>
      <c r="C14" s="4">
        <v>4</v>
      </c>
      <c r="D14" s="4">
        <v>7</v>
      </c>
      <c r="E14" t="s">
        <v>31</v>
      </c>
      <c r="F14" t="s">
        <v>32</v>
      </c>
    </row>
    <row r="15" spans="1:6" x14ac:dyDescent="0.25">
      <c r="A15" t="s">
        <v>33</v>
      </c>
      <c r="B15" s="4">
        <v>4</v>
      </c>
      <c r="C15" s="4">
        <v>4</v>
      </c>
      <c r="D15" s="4">
        <v>7</v>
      </c>
      <c r="E15" t="s">
        <v>31</v>
      </c>
      <c r="F15" t="s">
        <v>34</v>
      </c>
    </row>
    <row r="16" spans="1:6" x14ac:dyDescent="0.25">
      <c r="A16" t="s">
        <v>35</v>
      </c>
      <c r="B16" s="4">
        <v>12</v>
      </c>
      <c r="C16" s="4">
        <v>15</v>
      </c>
      <c r="D16" s="4">
        <v>24</v>
      </c>
      <c r="E16" t="s">
        <v>31</v>
      </c>
      <c r="F16" t="s">
        <v>36</v>
      </c>
    </row>
    <row r="17" spans="1:6" x14ac:dyDescent="0.25">
      <c r="A17" t="s">
        <v>37</v>
      </c>
      <c r="B17" s="4">
        <v>2000</v>
      </c>
      <c r="C17" s="4">
        <v>2000</v>
      </c>
      <c r="D17" s="4">
        <v>2000</v>
      </c>
      <c r="E17" t="s">
        <v>38</v>
      </c>
      <c r="F17" t="s">
        <v>39</v>
      </c>
    </row>
    <row r="18" spans="1:6" x14ac:dyDescent="0.25">
      <c r="A18" t="s">
        <v>40</v>
      </c>
      <c r="B18" s="4">
        <v>0.75</v>
      </c>
      <c r="C18" s="4">
        <v>0.6</v>
      </c>
      <c r="D18" s="4">
        <v>0.25</v>
      </c>
      <c r="E18" t="s">
        <v>15</v>
      </c>
      <c r="F18" t="s">
        <v>41</v>
      </c>
    </row>
    <row r="19" spans="1:6" x14ac:dyDescent="0.25">
      <c r="A19" t="s">
        <v>42</v>
      </c>
      <c r="B19" s="4">
        <v>80</v>
      </c>
      <c r="C19" s="4">
        <v>60</v>
      </c>
      <c r="D19" s="4">
        <v>40</v>
      </c>
      <c r="E19" t="s">
        <v>43</v>
      </c>
      <c r="F19" t="s">
        <v>44</v>
      </c>
    </row>
    <row r="20" spans="1:6" x14ac:dyDescent="0.25">
      <c r="A20" t="s">
        <v>45</v>
      </c>
      <c r="B20" s="4">
        <v>0.5</v>
      </c>
      <c r="C20" s="4">
        <v>0.5</v>
      </c>
      <c r="D20" s="4">
        <v>0.5</v>
      </c>
      <c r="E20" t="s">
        <v>15</v>
      </c>
      <c r="F20" t="s">
        <v>46</v>
      </c>
    </row>
    <row r="21" spans="1:6" x14ac:dyDescent="0.25">
      <c r="A21" t="s">
        <v>47</v>
      </c>
      <c r="B21" s="4">
        <v>0.1</v>
      </c>
      <c r="C21" s="4">
        <v>0.1</v>
      </c>
      <c r="D21" s="4">
        <v>0.1</v>
      </c>
      <c r="E21" t="s">
        <v>15</v>
      </c>
      <c r="F21" t="s">
        <v>46</v>
      </c>
    </row>
    <row r="22" spans="1:6" x14ac:dyDescent="0.25">
      <c r="A22" t="s">
        <v>48</v>
      </c>
      <c r="B22" s="4">
        <v>9.2200000000000006</v>
      </c>
      <c r="C22" s="4">
        <v>9.2200000000000006</v>
      </c>
      <c r="D22" s="4">
        <v>9.2200000000000006</v>
      </c>
      <c r="E22" t="s">
        <v>49</v>
      </c>
      <c r="F22" t="s">
        <v>50</v>
      </c>
    </row>
    <row r="23" spans="1:6" x14ac:dyDescent="0.25">
      <c r="A23" t="s">
        <v>51</v>
      </c>
      <c r="B23" s="4">
        <v>180</v>
      </c>
      <c r="C23" s="4">
        <v>180</v>
      </c>
      <c r="D23" s="4">
        <v>100</v>
      </c>
      <c r="E23" t="s">
        <v>20</v>
      </c>
      <c r="F23" t="s">
        <v>52</v>
      </c>
    </row>
    <row r="24" spans="1:6" x14ac:dyDescent="0.25">
      <c r="A24" t="s">
        <v>53</v>
      </c>
      <c r="B24" s="4">
        <v>1</v>
      </c>
      <c r="C24" s="4">
        <v>1</v>
      </c>
      <c r="D24" s="4">
        <v>1</v>
      </c>
      <c r="E24" t="s">
        <v>54</v>
      </c>
      <c r="F24" t="s">
        <v>55</v>
      </c>
    </row>
    <row r="25" spans="1:6" x14ac:dyDescent="0.25">
      <c r="A25" t="s">
        <v>56</v>
      </c>
      <c r="B25" s="4">
        <v>2</v>
      </c>
      <c r="C25" s="4">
        <v>2</v>
      </c>
      <c r="D25" s="4">
        <v>2</v>
      </c>
      <c r="E25" t="s">
        <v>54</v>
      </c>
      <c r="F25" t="s">
        <v>57</v>
      </c>
    </row>
    <row r="26" spans="1:6" x14ac:dyDescent="0.25">
      <c r="A26" t="s">
        <v>58</v>
      </c>
      <c r="B26" s="4">
        <v>1</v>
      </c>
      <c r="C26" s="4">
        <v>1</v>
      </c>
      <c r="D26" s="4">
        <v>1</v>
      </c>
      <c r="E26" t="s">
        <v>59</v>
      </c>
      <c r="F26" t="s">
        <v>60</v>
      </c>
    </row>
    <row r="27" spans="1:6" x14ac:dyDescent="0.25">
      <c r="A27" t="s">
        <v>61</v>
      </c>
      <c r="B27" s="4">
        <v>2</v>
      </c>
      <c r="C27" s="4">
        <v>2</v>
      </c>
      <c r="D27" s="4">
        <v>2</v>
      </c>
      <c r="E27" t="s">
        <v>62</v>
      </c>
      <c r="F27" t="s">
        <v>63</v>
      </c>
    </row>
    <row r="28" spans="1:6" x14ac:dyDescent="0.25">
      <c r="A28" t="s">
        <v>64</v>
      </c>
      <c r="B28" s="4">
        <v>0.48</v>
      </c>
      <c r="C28" s="4">
        <v>0.48</v>
      </c>
      <c r="D28" s="4">
        <v>0.48</v>
      </c>
      <c r="E28" t="s">
        <v>65</v>
      </c>
      <c r="F28" t="s">
        <v>66</v>
      </c>
    </row>
    <row r="29" spans="1:6" x14ac:dyDescent="0.25">
      <c r="A29" t="s">
        <v>67</v>
      </c>
      <c r="B29" s="4">
        <v>30</v>
      </c>
      <c r="C29" s="4">
        <v>30</v>
      </c>
      <c r="D29" s="4">
        <v>30</v>
      </c>
      <c r="E29" t="s">
        <v>68</v>
      </c>
      <c r="F29" t="s">
        <v>69</v>
      </c>
    </row>
    <row r="30" spans="1:6" x14ac:dyDescent="0.25">
      <c r="A30" t="s">
        <v>70</v>
      </c>
      <c r="B30" s="4">
        <v>3</v>
      </c>
      <c r="C30" s="4">
        <v>3</v>
      </c>
      <c r="D30" s="4">
        <v>3</v>
      </c>
      <c r="E30" t="s">
        <v>71</v>
      </c>
      <c r="F30" t="s">
        <v>34</v>
      </c>
    </row>
    <row r="31" spans="1:6" x14ac:dyDescent="0.25">
      <c r="A31" t="s">
        <v>72</v>
      </c>
      <c r="B31" s="4">
        <v>600</v>
      </c>
      <c r="C31" s="4">
        <v>600</v>
      </c>
      <c r="D31" s="4">
        <v>600</v>
      </c>
      <c r="E31" t="s">
        <v>73</v>
      </c>
      <c r="F31" t="s">
        <v>74</v>
      </c>
    </row>
    <row r="32" spans="1:6" x14ac:dyDescent="0.25">
      <c r="A32" t="s">
        <v>75</v>
      </c>
      <c r="B32" s="4">
        <v>150</v>
      </c>
      <c r="C32" s="4">
        <v>150</v>
      </c>
      <c r="D32" s="4">
        <v>150</v>
      </c>
      <c r="E32" t="s">
        <v>73</v>
      </c>
      <c r="F32" t="s">
        <v>34</v>
      </c>
    </row>
    <row r="33" spans="1:6" x14ac:dyDescent="0.25">
      <c r="A33" t="s">
        <v>76</v>
      </c>
      <c r="B33" s="4">
        <v>50</v>
      </c>
      <c r="C33" s="4">
        <v>50</v>
      </c>
      <c r="D33" s="4">
        <v>50</v>
      </c>
      <c r="E33" t="s">
        <v>77</v>
      </c>
      <c r="F33" t="s">
        <v>78</v>
      </c>
    </row>
    <row r="34" spans="1:6" x14ac:dyDescent="0.25">
      <c r="A34" t="s">
        <v>79</v>
      </c>
      <c r="B34" s="4">
        <v>12</v>
      </c>
      <c r="C34" s="4">
        <v>12</v>
      </c>
      <c r="D34" s="4">
        <v>12</v>
      </c>
      <c r="E34" t="s">
        <v>80</v>
      </c>
      <c r="F34" t="s">
        <v>34</v>
      </c>
    </row>
    <row r="35" spans="1:6" x14ac:dyDescent="0.25">
      <c r="A35" t="s">
        <v>81</v>
      </c>
      <c r="B35" s="4">
        <v>2</v>
      </c>
      <c r="C35" s="4">
        <v>2</v>
      </c>
      <c r="D35" s="4">
        <v>2</v>
      </c>
      <c r="E35" t="s">
        <v>82</v>
      </c>
      <c r="F35" t="s">
        <v>34</v>
      </c>
    </row>
    <row r="36" spans="1:6" x14ac:dyDescent="0.25">
      <c r="A36" t="s">
        <v>83</v>
      </c>
      <c r="B36" s="4">
        <v>60</v>
      </c>
      <c r="C36" s="4">
        <v>60</v>
      </c>
      <c r="D36" s="4">
        <v>60</v>
      </c>
      <c r="E36" t="s">
        <v>84</v>
      </c>
      <c r="F36" t="s">
        <v>85</v>
      </c>
    </row>
    <row r="37" spans="1:6" x14ac:dyDescent="0.25">
      <c r="A37" t="s">
        <v>86</v>
      </c>
      <c r="B37" s="4">
        <v>1</v>
      </c>
      <c r="C37" s="4">
        <v>1</v>
      </c>
      <c r="D37" s="4">
        <v>1</v>
      </c>
      <c r="E37" t="s">
        <v>87</v>
      </c>
      <c r="F37" t="s">
        <v>88</v>
      </c>
    </row>
    <row r="38" spans="1:6" x14ac:dyDescent="0.25">
      <c r="A38" t="s">
        <v>89</v>
      </c>
      <c r="B38" s="4">
        <v>1</v>
      </c>
      <c r="C38" s="4">
        <v>1</v>
      </c>
      <c r="D38" s="4">
        <v>1</v>
      </c>
      <c r="E38" t="s">
        <v>90</v>
      </c>
      <c r="F38" t="s">
        <v>91</v>
      </c>
    </row>
    <row r="39" spans="1:6" x14ac:dyDescent="0.25">
      <c r="A39" t="s">
        <v>92</v>
      </c>
      <c r="B39" s="4">
        <v>15</v>
      </c>
      <c r="C39" s="4">
        <v>20</v>
      </c>
      <c r="D39" s="4">
        <v>40</v>
      </c>
      <c r="E39" t="s">
        <v>93</v>
      </c>
      <c r="F39" t="s">
        <v>94</v>
      </c>
    </row>
    <row r="40" spans="1:6" x14ac:dyDescent="0.25">
      <c r="A40" t="s">
        <v>95</v>
      </c>
      <c r="B40" s="4">
        <v>0.85</v>
      </c>
      <c r="C40" s="4">
        <v>1</v>
      </c>
      <c r="D40" s="4">
        <v>1.1499999999999999</v>
      </c>
      <c r="E40" t="s">
        <v>96</v>
      </c>
      <c r="F40" t="s">
        <v>97</v>
      </c>
    </row>
    <row r="41" spans="1:6" x14ac:dyDescent="0.25">
      <c r="A41" t="s">
        <v>98</v>
      </c>
      <c r="B41" s="4">
        <v>0.12</v>
      </c>
      <c r="C41" s="4">
        <v>0.12</v>
      </c>
      <c r="D41" s="4">
        <v>0.12</v>
      </c>
      <c r="E41" t="s">
        <v>15</v>
      </c>
      <c r="F41" t="s">
        <v>99</v>
      </c>
    </row>
    <row r="43" spans="1:6" x14ac:dyDescent="0.25">
      <c r="A43" s="5" t="s">
        <v>100</v>
      </c>
    </row>
    <row r="44" spans="1:6" x14ac:dyDescent="0.25">
      <c r="A44" t="s">
        <v>101</v>
      </c>
      <c r="B44">
        <f>(B6)/7.5</f>
        <v>56.666666666666664</v>
      </c>
      <c r="C44">
        <f>(C6)/7.5</f>
        <v>73.333333333333329</v>
      </c>
      <c r="D44">
        <f>(D6)/7.5</f>
        <v>103.33333333333333</v>
      </c>
      <c r="E44" t="s">
        <v>102</v>
      </c>
    </row>
    <row r="45" spans="1:6" x14ac:dyDescent="0.25">
      <c r="A45" t="s">
        <v>103</v>
      </c>
      <c r="B45">
        <f>B5*B44*(1+B10)</f>
        <v>49866.666666666664</v>
      </c>
      <c r="C45">
        <f>C5*C44*(1+C10)</f>
        <v>64533.333333333336</v>
      </c>
      <c r="D45">
        <f>D5*D44*(1+D10)</f>
        <v>113666.66666666667</v>
      </c>
      <c r="E45" t="s">
        <v>104</v>
      </c>
    </row>
    <row r="46" spans="1:6" x14ac:dyDescent="0.25">
      <c r="A46" t="s">
        <v>105</v>
      </c>
      <c r="B46">
        <f>B9*(B20+B21)*(60/B22)*365</f>
        <v>2137744.0347071583</v>
      </c>
      <c r="C46">
        <f>C9*(C20+C21)*(60/C22)*365</f>
        <v>2137744.0347071583</v>
      </c>
      <c r="D46">
        <f>D9*(D20+D21)*(60/D22)*365</f>
        <v>2137744.0347071583</v>
      </c>
      <c r="E46" t="s">
        <v>20</v>
      </c>
    </row>
    <row r="47" spans="1:6" x14ac:dyDescent="0.25">
      <c r="A47" t="s">
        <v>106</v>
      </c>
      <c r="B47">
        <f>MAX(B25,CEILING(B9/B23,1)+B24)</f>
        <v>10</v>
      </c>
      <c r="C47">
        <f>MAX(C25,CEILING(C9/C23,1)+C24)</f>
        <v>10</v>
      </c>
      <c r="D47">
        <f>MAX(D25,CEILING(D9/D23,1)+D24)</f>
        <v>16</v>
      </c>
      <c r="E47" t="s">
        <v>54</v>
      </c>
    </row>
    <row r="48" spans="1:6" x14ac:dyDescent="0.25">
      <c r="A48" t="s">
        <v>107</v>
      </c>
      <c r="B48">
        <f>3600*(B26*'Precios Azure'!$C$3+B27*'Precios Azure'!$C$4)</f>
        <v>0.11411366399999999</v>
      </c>
      <c r="C48">
        <f>3600*(C26*'Precios Azure'!$C$3+C27*'Precios Azure'!$C$4)</f>
        <v>0.11411366399999999</v>
      </c>
      <c r="D48">
        <f>3600*(D26*'Precios Azure'!$C$3+D27*'Precios Azure'!$C$4)</f>
        <v>0.11411366399999999</v>
      </c>
      <c r="E48" t="s">
        <v>102</v>
      </c>
    </row>
    <row r="49" spans="1:5" x14ac:dyDescent="0.25">
      <c r="A49" t="s">
        <v>108</v>
      </c>
      <c r="B49">
        <f>(1+B41)^(1/12)-1</f>
        <v>9.4887929345830457E-3</v>
      </c>
      <c r="C49">
        <f>(1+C41)^(1/12)-1</f>
        <v>9.4887929345830457E-3</v>
      </c>
      <c r="D49">
        <f>(1+D41)^(1/12)-1</f>
        <v>9.4887929345830457E-3</v>
      </c>
      <c r="E4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9.140625" defaultRowHeight="15" x14ac:dyDescent="0.25"/>
  <cols>
    <col min="1" max="1" width="40" customWidth="1"/>
    <col min="2" max="4" width="16" customWidth="1"/>
    <col min="5" max="5" width="48" customWidth="1"/>
  </cols>
  <sheetData>
    <row r="1" spans="1:5" x14ac:dyDescent="0.25">
      <c r="A1" s="2" t="s">
        <v>109</v>
      </c>
      <c r="B1" s="2" t="s">
        <v>3</v>
      </c>
      <c r="C1" s="2" t="s">
        <v>4</v>
      </c>
      <c r="D1" s="2" t="s">
        <v>5</v>
      </c>
      <c r="E1" s="2" t="s">
        <v>110</v>
      </c>
    </row>
    <row r="2" spans="1:5" x14ac:dyDescent="0.25">
      <c r="A2" t="s">
        <v>111</v>
      </c>
      <c r="B2" s="6">
        <f>Supuestos!B45</f>
        <v>49866.666666666664</v>
      </c>
      <c r="C2" s="6">
        <f>Supuestos!C45</f>
        <v>64533.333333333336</v>
      </c>
      <c r="D2" s="6">
        <f>Supuestos!D45</f>
        <v>113666.66666666667</v>
      </c>
      <c r="E2" t="s">
        <v>112</v>
      </c>
    </row>
    <row r="3" spans="1:5" x14ac:dyDescent="0.25">
      <c r="A3" t="s">
        <v>113</v>
      </c>
      <c r="B3" s="6">
        <f>NPV(Supuestos!B49,'Flujo Optimista'!U2:U37)</f>
        <v>453907.56570200354</v>
      </c>
      <c r="C3" s="6">
        <f>NPV(Supuestos!C49,'Flujo Base'!U2:U37)</f>
        <v>174125.20046300942</v>
      </c>
      <c r="D3" s="6">
        <f>NPV(Supuestos!D49,'Flujo Pesimista'!U2:U37)</f>
        <v>-184677.46701935781</v>
      </c>
      <c r="E3" t="s">
        <v>114</v>
      </c>
    </row>
    <row r="4" spans="1:5" x14ac:dyDescent="0.25">
      <c r="A4" t="s">
        <v>115</v>
      </c>
      <c r="B4" s="7">
        <f>IFERROR(IRR('Flujo Optimista'!U2:U37),"No existe")</f>
        <v>0.18188952482743104</v>
      </c>
      <c r="C4" s="7">
        <f>IFERROR(IRR('Flujo Base'!U2:U37),"No existe")</f>
        <v>8.3037089449874646E-2</v>
      </c>
      <c r="D4" s="7" t="str">
        <f>IFERROR(IRR('Flujo Pesimista'!U2:U37),"No existe")</f>
        <v>No existe</v>
      </c>
      <c r="E4" t="s">
        <v>116</v>
      </c>
    </row>
    <row r="5" spans="1:5" x14ac:dyDescent="0.25">
      <c r="A5" t="s">
        <v>117</v>
      </c>
      <c r="B5" s="7">
        <f>IFERROR((1+IRR('Flujo Optimista'!U2:U37))^12-1,"No existe")</f>
        <v>6.4288673182353238</v>
      </c>
      <c r="C5" s="7">
        <f>IFERROR((1+IRR('Flujo Base'!U2:U37))^12-1,"No existe")</f>
        <v>1.6044735759701148</v>
      </c>
      <c r="D5" s="7" t="str">
        <f>IFERROR((1+IRR('Flujo Pesimista'!U2:U37))^12-1,"No existe")</f>
        <v>No existe</v>
      </c>
      <c r="E5" t="s">
        <v>118</v>
      </c>
    </row>
    <row r="6" spans="1:5" x14ac:dyDescent="0.25">
      <c r="A6" t="s">
        <v>119</v>
      </c>
      <c r="B6" s="6">
        <f>IFERROR(INDEX('Flujo Optimista'!A2:A37,MATCH(TRUE,INDEX('Flujo Optimista'!V2:V37&gt;=0,0),0)),"No recupera")</f>
        <v>10</v>
      </c>
      <c r="C6" s="6">
        <f>IFERROR(INDEX('Flujo Base'!A2:A37,MATCH(TRUE,INDEX('Flujo Base'!V2:V37&gt;=0,0),0)),"No recupera")</f>
        <v>16</v>
      </c>
      <c r="D6" s="6" t="str">
        <f>IFERROR(INDEX('Flujo Pesimista'!A2:A37,MATCH(TRUE,INDEX('Flujo Pesimista'!V2:V37&gt;=0,0),0)),"No recupera")</f>
        <v>No recupera</v>
      </c>
      <c r="E6" t="s">
        <v>120</v>
      </c>
    </row>
    <row r="7" spans="1:5" x14ac:dyDescent="0.25">
      <c r="A7" t="s">
        <v>121</v>
      </c>
      <c r="B7" s="6">
        <f>NPV(Supuestos!B49,'Flujo Optimista'!T2:T37)</f>
        <v>566766.66614516813</v>
      </c>
      <c r="C7" s="6">
        <f>NPV(Supuestos!C49,'Flujo Base'!T2:T37)</f>
        <v>322423.37337465415</v>
      </c>
      <c r="D7" s="6">
        <f>NPV(Supuestos!D49,'Flujo Pesimista'!T2:T37)</f>
        <v>69417.116025290146</v>
      </c>
    </row>
    <row r="8" spans="1:5" x14ac:dyDescent="0.25">
      <c r="A8" t="s">
        <v>122</v>
      </c>
      <c r="B8" s="6">
        <f>NPV(Supuestos!B49,'Flujo Optimista'!B2:B37)+NPV(Supuestos!B49,'Flujo Optimista'!S2:S37)</f>
        <v>112859.10044316454</v>
      </c>
      <c r="C8" s="6">
        <f>NPV(Supuestos!C49,'Flujo Base'!B2:B37)+NPV(Supuestos!C49,'Flujo Base'!S2:S37)</f>
        <v>148298.17291164474</v>
      </c>
      <c r="D8" s="6">
        <f>NPV(Supuestos!D49,'Flujo Pesimista'!B2:B37)+NPV(Supuestos!D49,'Flujo Pesimista'!S2:S37)</f>
        <v>254094.58304464805</v>
      </c>
    </row>
    <row r="9" spans="1:5" x14ac:dyDescent="0.25">
      <c r="A9" t="s">
        <v>123</v>
      </c>
      <c r="B9" s="6">
        <f>B7/B8</f>
        <v>5.0218960094457765</v>
      </c>
      <c r="C9" s="6">
        <f>C7/C8</f>
        <v>2.1741560738361376</v>
      </c>
      <c r="D9" s="6">
        <f>D7/D8</f>
        <v>0.27319400198741178</v>
      </c>
      <c r="E9" t="s">
        <v>124</v>
      </c>
    </row>
    <row r="10" spans="1:5" x14ac:dyDescent="0.25">
      <c r="A10" t="s">
        <v>125</v>
      </c>
      <c r="B10" s="6">
        <f>'Flujo Optimista'!S37</f>
        <v>2387.28867663032</v>
      </c>
      <c r="C10" s="6">
        <f>'Flujo Base'!S37</f>
        <v>3164.0913191130094</v>
      </c>
      <c r="D10" s="6">
        <f>'Flujo Pesimista'!S37</f>
        <v>5850.9840966143256</v>
      </c>
    </row>
    <row r="11" spans="1:5" x14ac:dyDescent="0.25">
      <c r="A11" t="s">
        <v>126</v>
      </c>
      <c r="B11" s="6">
        <f>'Flujo Optimista'!T37</f>
        <v>24000</v>
      </c>
      <c r="C11" s="6">
        <f>'Flujo Base'!T37</f>
        <v>14400</v>
      </c>
      <c r="D11" s="6">
        <f>'Flujo Pesimista'!T37</f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baseColWidth="10" defaultColWidth="9.140625" defaultRowHeight="15" x14ac:dyDescent="0.25"/>
  <cols>
    <col min="1" max="1" width="52" customWidth="1"/>
    <col min="2" max="4" width="12" customWidth="1"/>
    <col min="5" max="5" width="62" customWidth="1"/>
  </cols>
  <sheetData>
    <row r="1" spans="1:5" x14ac:dyDescent="0.25">
      <c r="A1" s="2" t="s">
        <v>127</v>
      </c>
      <c r="B1" s="2" t="s">
        <v>128</v>
      </c>
      <c r="C1" s="2" t="s">
        <v>129</v>
      </c>
      <c r="D1" s="2" t="s">
        <v>6</v>
      </c>
      <c r="E1" s="2" t="s">
        <v>130</v>
      </c>
    </row>
    <row r="2" spans="1:5" x14ac:dyDescent="0.25">
      <c r="A2" t="s">
        <v>131</v>
      </c>
      <c r="C2">
        <v>0.75471999999999995</v>
      </c>
      <c r="D2" t="s">
        <v>132</v>
      </c>
      <c r="E2" t="s">
        <v>133</v>
      </c>
    </row>
    <row r="3" spans="1:5" x14ac:dyDescent="0.25">
      <c r="A3" t="s">
        <v>134</v>
      </c>
      <c r="B3">
        <v>3.4E-5</v>
      </c>
      <c r="C3">
        <f t="shared" ref="C3:C14" si="0">B3*$C$2</f>
        <v>2.5660479999999998E-5</v>
      </c>
      <c r="D3" t="s">
        <v>135</v>
      </c>
      <c r="E3" t="s">
        <v>136</v>
      </c>
    </row>
    <row r="4" spans="1:5" x14ac:dyDescent="0.25">
      <c r="A4" t="s">
        <v>137</v>
      </c>
      <c r="B4">
        <v>3.9999999999999998E-6</v>
      </c>
      <c r="C4">
        <f t="shared" si="0"/>
        <v>3.0188799999999995E-6</v>
      </c>
      <c r="D4" t="s">
        <v>138</v>
      </c>
      <c r="E4" t="s">
        <v>136</v>
      </c>
    </row>
    <row r="5" spans="1:5" x14ac:dyDescent="0.25">
      <c r="A5" t="s">
        <v>139</v>
      </c>
      <c r="B5">
        <v>0.1666</v>
      </c>
      <c r="C5">
        <f t="shared" si="0"/>
        <v>0.125736352</v>
      </c>
      <c r="D5" t="s">
        <v>140</v>
      </c>
      <c r="E5" t="s">
        <v>136</v>
      </c>
    </row>
    <row r="6" spans="1:5" x14ac:dyDescent="0.25">
      <c r="A6" t="s">
        <v>141</v>
      </c>
      <c r="B6">
        <v>10</v>
      </c>
      <c r="C6">
        <f t="shared" si="0"/>
        <v>7.5471999999999992</v>
      </c>
      <c r="D6" t="s">
        <v>142</v>
      </c>
      <c r="E6" t="s">
        <v>136</v>
      </c>
    </row>
    <row r="7" spans="1:5" x14ac:dyDescent="0.25">
      <c r="A7" t="s">
        <v>143</v>
      </c>
      <c r="B7">
        <v>0.8</v>
      </c>
      <c r="C7">
        <f t="shared" si="0"/>
        <v>0.60377599999999998</v>
      </c>
      <c r="D7" t="s">
        <v>144</v>
      </c>
      <c r="E7" t="s">
        <v>136</v>
      </c>
    </row>
    <row r="8" spans="1:5" x14ac:dyDescent="0.25">
      <c r="A8" t="s">
        <v>145</v>
      </c>
      <c r="B8">
        <v>0.92749999999999999</v>
      </c>
      <c r="C8">
        <f t="shared" si="0"/>
        <v>0.70000279999999993</v>
      </c>
      <c r="D8" t="s">
        <v>146</v>
      </c>
      <c r="E8" t="s">
        <v>136</v>
      </c>
    </row>
    <row r="9" spans="1:5" x14ac:dyDescent="0.25">
      <c r="A9" t="s">
        <v>147</v>
      </c>
      <c r="B9">
        <v>0.95889999999999997</v>
      </c>
      <c r="C9">
        <f t="shared" si="0"/>
        <v>0.72370100799999992</v>
      </c>
      <c r="D9" t="s">
        <v>146</v>
      </c>
      <c r="E9" t="s">
        <v>136</v>
      </c>
    </row>
    <row r="10" spans="1:5" x14ac:dyDescent="0.25">
      <c r="A10" t="s">
        <v>148</v>
      </c>
      <c r="B10">
        <v>1.4999999999999999E-4</v>
      </c>
      <c r="C10">
        <f t="shared" si="0"/>
        <v>1.1320799999999998E-4</v>
      </c>
      <c r="D10" t="s">
        <v>149</v>
      </c>
      <c r="E10" t="s">
        <v>136</v>
      </c>
    </row>
    <row r="11" spans="1:5" x14ac:dyDescent="0.25">
      <c r="A11" t="s">
        <v>150</v>
      </c>
      <c r="B11">
        <v>5.9999999999999995E-4</v>
      </c>
      <c r="C11">
        <f t="shared" si="0"/>
        <v>4.5283199999999991E-4</v>
      </c>
      <c r="D11" t="s">
        <v>149</v>
      </c>
      <c r="E11" t="s">
        <v>136</v>
      </c>
    </row>
    <row r="12" spans="1:5" x14ac:dyDescent="0.25">
      <c r="A12" t="s">
        <v>151</v>
      </c>
      <c r="B12">
        <v>1.9199999999999998E-2</v>
      </c>
      <c r="C12">
        <f t="shared" si="0"/>
        <v>1.4490623999999997E-2</v>
      </c>
      <c r="D12" t="s">
        <v>152</v>
      </c>
      <c r="E12" t="s">
        <v>136</v>
      </c>
    </row>
    <row r="13" spans="1:5" x14ac:dyDescent="0.25">
      <c r="A13" t="s">
        <v>153</v>
      </c>
      <c r="B13">
        <v>5.8999999999999997E-2</v>
      </c>
      <c r="C13">
        <f t="shared" si="0"/>
        <v>4.4528479999999995E-2</v>
      </c>
      <c r="D13" t="s">
        <v>154</v>
      </c>
      <c r="E13" t="s">
        <v>136</v>
      </c>
    </row>
    <row r="14" spans="1:5" x14ac:dyDescent="0.25">
      <c r="A14" t="s">
        <v>155</v>
      </c>
      <c r="B14">
        <v>2.88</v>
      </c>
      <c r="C14">
        <f t="shared" si="0"/>
        <v>2.1735935999999998</v>
      </c>
      <c r="D14" t="s">
        <v>156</v>
      </c>
      <c r="E14" t="s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2" width="13" customWidth="1"/>
  </cols>
  <sheetData>
    <row r="1" spans="1:22" ht="45" x14ac:dyDescent="0.25">
      <c r="A1" s="8" t="s">
        <v>157</v>
      </c>
      <c r="B1" s="8" t="s">
        <v>158</v>
      </c>
      <c r="C1" s="8" t="s">
        <v>159</v>
      </c>
      <c r="D1" s="8" t="s">
        <v>160</v>
      </c>
      <c r="E1" s="8" t="s">
        <v>161</v>
      </c>
      <c r="F1" s="8" t="s">
        <v>162</v>
      </c>
      <c r="G1" s="8" t="s">
        <v>163</v>
      </c>
      <c r="H1" s="8" t="s">
        <v>164</v>
      </c>
      <c r="I1" s="8" t="s">
        <v>165</v>
      </c>
      <c r="J1" s="8" t="s">
        <v>166</v>
      </c>
      <c r="K1" s="8" t="s">
        <v>167</v>
      </c>
      <c r="L1" s="8" t="s">
        <v>168</v>
      </c>
      <c r="M1" s="8" t="s">
        <v>169</v>
      </c>
      <c r="N1" s="8" t="s">
        <v>170</v>
      </c>
      <c r="O1" s="8" t="s">
        <v>171</v>
      </c>
      <c r="P1" s="8" t="s">
        <v>172</v>
      </c>
      <c r="Q1" s="8" t="s">
        <v>173</v>
      </c>
      <c r="R1" s="8" t="s">
        <v>174</v>
      </c>
      <c r="S1" s="8" t="s">
        <v>175</v>
      </c>
      <c r="T1" s="8" t="s">
        <v>176</v>
      </c>
      <c r="U1" s="8" t="s">
        <v>177</v>
      </c>
      <c r="V1" s="8" t="s">
        <v>178</v>
      </c>
    </row>
    <row r="2" spans="1:22" x14ac:dyDescent="0.25">
      <c r="A2">
        <v>1</v>
      </c>
      <c r="B2" s="9">
        <f>IF(A2=1,Supuestos!$B$11,IF(A2=2,Supuestos!$B$12,IF(A2=3,Supuestos!$B$13,0)))*Supuestos!$B$45</f>
        <v>17617.893333333333</v>
      </c>
      <c r="C2" s="6">
        <f>IF(A2&lt;Supuestos!$B$15,0,IF(A2&gt;=Supuestos!$B$16,1,0.1+0.9*(A2-Supuestos!$B$15)/(Supuestos!$B$16-Supuestos!$B$15)))</f>
        <v>0</v>
      </c>
      <c r="D2" s="9">
        <f>Supuestos!$B$17*Supuestos!$B$18*C2</f>
        <v>0</v>
      </c>
      <c r="E2" s="6">
        <f>IF(F2=0,0,IF(D2=0,0.05*Supuestos!$B$18,D2/Supuestos!$B$17))</f>
        <v>0</v>
      </c>
      <c r="F2" s="9">
        <f>IF(A2&gt;=Supuestos!$B$14,1,0)</f>
        <v>0</v>
      </c>
      <c r="G2" s="9">
        <f>IF(Supuestos!$B$9*Supuestos!$B$20*E2&gt;0,MAX(Supuestos!$B$25,CEILING(Supuestos!$B$9*Supuestos!$B$20*E2/Supuestos!$B$23,1)+Supuestos!$B$24),Supuestos!$B$25)</f>
        <v>2</v>
      </c>
      <c r="H2" s="9">
        <f>IF(Supuestos!$B$9*Supuestos!$B$21*E2&gt;0,MAX(Supuestos!$B$25,CEILING(Supuestos!$B$9*Supuestos!$B$21*E2/Supuestos!$B$23,1)+Supuestos!$B$24),Supuestos!$B$25)</f>
        <v>2</v>
      </c>
      <c r="I2" s="9">
        <f>F2*Supuestos!$B$40*(G2+H2)*365*Supuestos!$B$48</f>
        <v>0</v>
      </c>
      <c r="J2" s="9">
        <f>F2*Supuestos!$B$40*60*Supuestos!$B$48</f>
        <v>0</v>
      </c>
      <c r="K2" s="9">
        <f>F2*Supuestos!$B$40*IF(Supuestos!$B$37=0,1,0)*('Precios Azure'!$C$6+MAX(0,Supuestos!$B$46*E2*Supuestos!$B$30/1000000-13)*'Precios Azure'!$C$7)</f>
        <v>0</v>
      </c>
      <c r="L2" s="9">
        <f>F2*Supuestos!$B$40*Supuestos!$B$37*730*'Precios Azure'!$C$8</f>
        <v>0</v>
      </c>
      <c r="M2" s="9">
        <f>F2*Supuestos!$B$40*Supuestos!$B$38*730*'Precios Azure'!$C$9</f>
        <v>0</v>
      </c>
      <c r="N2" s="9">
        <f>F2*Supuestos!$B$40*Supuestos!$B$46*E2*(Supuestos!$B$31/1000*'Precios Azure'!$C$10+Supuestos!$B$32/1000*'Precios Azure'!$C$11)</f>
        <v>0</v>
      </c>
      <c r="O2" s="9">
        <f>F2*Supuestos!$B$40*((Supuestos!$B$46*E2*Supuestos!$B$22*Supuestos!$B$28/1000*Supuestos!$B$29/30.4+Supuestos!$B$46*E2*Supuestos!$B$33/1000000*Supuestos!$B$34)*'Precios Azure'!$C$12+Supuestos!$B$46*E2*Supuestos!$B$35/10000*'Precios Azure'!$C$13)</f>
        <v>0</v>
      </c>
      <c r="P2" s="9">
        <f>F2*Supuestos!$B$40*30.4*'Precios Azure'!$C$5</f>
        <v>0</v>
      </c>
      <c r="Q2" s="9">
        <f>F2*Supuestos!$B$40*MAX(0,Supuestos!$B$36-5)*'Precios Azure'!$C$14</f>
        <v>0</v>
      </c>
      <c r="R2" s="9">
        <f>F2*Supuestos!$B$39*Supuestos!$B$44</f>
        <v>0</v>
      </c>
      <c r="S2" s="9">
        <f t="shared" ref="S2:S37" si="0">SUM(I2:R2)</f>
        <v>0</v>
      </c>
      <c r="T2" s="9">
        <f>D2*Supuestos!$B$19*Supuestos!$B$8</f>
        <v>0</v>
      </c>
      <c r="U2" s="9">
        <f t="shared" ref="U2:U37" si="1">T2-S2-B2</f>
        <v>-17617.893333333333</v>
      </c>
      <c r="V2" s="9">
        <f>SUM($U$2:U2)</f>
        <v>-17617.893333333333</v>
      </c>
    </row>
    <row r="3" spans="1:22" x14ac:dyDescent="0.25">
      <c r="A3">
        <v>2</v>
      </c>
      <c r="B3" s="9">
        <f>IF(A3=1,Supuestos!$B$11,IF(A3=2,Supuestos!$B$12,IF(A3=3,Supuestos!$B$13,0)))*Supuestos!$B$45</f>
        <v>21652.106666666663</v>
      </c>
      <c r="C3" s="6">
        <f>IF(A3&lt;Supuestos!$B$15,0,IF(A3&gt;=Supuestos!$B$16,1,0.1+0.9*(A3-Supuestos!$B$15)/(Supuestos!$B$16-Supuestos!$B$15)))</f>
        <v>0</v>
      </c>
      <c r="D3" s="9">
        <f>Supuestos!$B$17*Supuestos!$B$18*C3</f>
        <v>0</v>
      </c>
      <c r="E3" s="6">
        <f>IF(F3=0,0,IF(D3=0,0.05*Supuestos!$B$18,D3/Supuestos!$B$17))</f>
        <v>0</v>
      </c>
      <c r="F3" s="9">
        <f>IF(A3&gt;=Supuestos!$B$14,1,0)</f>
        <v>0</v>
      </c>
      <c r="G3" s="9">
        <f>IF(Supuestos!$B$9*Supuestos!$B$20*E3&gt;0,MAX(Supuestos!$B$25,CEILING(Supuestos!$B$9*Supuestos!$B$20*E3/Supuestos!$B$23,1)+Supuestos!$B$24),Supuestos!$B$25)</f>
        <v>2</v>
      </c>
      <c r="H3" s="9">
        <f>IF(Supuestos!$B$9*Supuestos!$B$21*E3&gt;0,MAX(Supuestos!$B$25,CEILING(Supuestos!$B$9*Supuestos!$B$21*E3/Supuestos!$B$23,1)+Supuestos!$B$24),Supuestos!$B$25)</f>
        <v>2</v>
      </c>
      <c r="I3" s="9">
        <f>F3*Supuestos!$B$40*(G3+H3)*365*Supuestos!$B$48</f>
        <v>0</v>
      </c>
      <c r="J3" s="9">
        <f>F3*Supuestos!$B$40*60*Supuestos!$B$48</f>
        <v>0</v>
      </c>
      <c r="K3" s="9">
        <f>F3*Supuestos!$B$40*IF(Supuestos!$B$37=0,1,0)*('Precios Azure'!$C$6+MAX(0,Supuestos!$B$46*E3*Supuestos!$B$30/1000000-13)*'Precios Azure'!$C$7)</f>
        <v>0</v>
      </c>
      <c r="L3" s="9">
        <f>F3*Supuestos!$B$40*Supuestos!$B$37*730*'Precios Azure'!$C$8</f>
        <v>0</v>
      </c>
      <c r="M3" s="9">
        <f>F3*Supuestos!$B$40*Supuestos!$B$38*730*'Precios Azure'!$C$9</f>
        <v>0</v>
      </c>
      <c r="N3" s="9">
        <f>F3*Supuestos!$B$40*Supuestos!$B$46*E3*(Supuestos!$B$31/1000*'Precios Azure'!$C$10+Supuestos!$B$32/1000*'Precios Azure'!$C$11)</f>
        <v>0</v>
      </c>
      <c r="O3" s="9">
        <f>F3*Supuestos!$B$40*((Supuestos!$B$46*E3*Supuestos!$B$22*Supuestos!$B$28/1000*Supuestos!$B$29/30.4+Supuestos!$B$46*E3*Supuestos!$B$33/1000000*Supuestos!$B$34)*'Precios Azure'!$C$12+Supuestos!$B$46*E3*Supuestos!$B$35/10000*'Precios Azure'!$C$13)</f>
        <v>0</v>
      </c>
      <c r="P3" s="9">
        <f>F3*Supuestos!$B$40*30.4*'Precios Azure'!$C$5</f>
        <v>0</v>
      </c>
      <c r="Q3" s="9">
        <f>F3*Supuestos!$B$40*MAX(0,Supuestos!$B$36-5)*'Precios Azure'!$C$14</f>
        <v>0</v>
      </c>
      <c r="R3" s="9">
        <f>F3*Supuestos!$B$39*Supuestos!$B$44</f>
        <v>0</v>
      </c>
      <c r="S3" s="9">
        <f t="shared" si="0"/>
        <v>0</v>
      </c>
      <c r="T3" s="9">
        <f>D3*Supuestos!$B$19*Supuestos!$B$8</f>
        <v>0</v>
      </c>
      <c r="U3" s="9">
        <f t="shared" si="1"/>
        <v>-21652.106666666663</v>
      </c>
      <c r="V3" s="9">
        <f>SUM($U$2:U3)</f>
        <v>-39270</v>
      </c>
    </row>
    <row r="4" spans="1:22" x14ac:dyDescent="0.25">
      <c r="A4">
        <v>3</v>
      </c>
      <c r="B4" s="9">
        <f>IF(A4=1,Supuestos!$B$11,IF(A4=2,Supuestos!$B$12,IF(A4=3,Supuestos!$B$13,0)))*Supuestos!$B$45</f>
        <v>10596.666666666666</v>
      </c>
      <c r="C4" s="6">
        <f>IF(A4&lt;Supuestos!$B$15,0,IF(A4&gt;=Supuestos!$B$16,1,0.1+0.9*(A4-Supuestos!$B$15)/(Supuestos!$B$16-Supuestos!$B$15)))</f>
        <v>0</v>
      </c>
      <c r="D4" s="9">
        <f>Supuestos!$B$17*Supuestos!$B$18*C4</f>
        <v>0</v>
      </c>
      <c r="E4" s="6">
        <f>IF(F4=0,0,IF(D4=0,0.05*Supuestos!$B$18,D4/Supuestos!$B$17))</f>
        <v>0</v>
      </c>
      <c r="F4" s="9">
        <f>IF(A4&gt;=Supuestos!$B$14,1,0)</f>
        <v>0</v>
      </c>
      <c r="G4" s="9">
        <f>IF(Supuestos!$B$9*Supuestos!$B$20*E4&gt;0,MAX(Supuestos!$B$25,CEILING(Supuestos!$B$9*Supuestos!$B$20*E4/Supuestos!$B$23,1)+Supuestos!$B$24),Supuestos!$B$25)</f>
        <v>2</v>
      </c>
      <c r="H4" s="9">
        <f>IF(Supuestos!$B$9*Supuestos!$B$21*E4&gt;0,MAX(Supuestos!$B$25,CEILING(Supuestos!$B$9*Supuestos!$B$21*E4/Supuestos!$B$23,1)+Supuestos!$B$24),Supuestos!$B$25)</f>
        <v>2</v>
      </c>
      <c r="I4" s="9">
        <f>F4*Supuestos!$B$40*(G4+H4)*365*Supuestos!$B$48</f>
        <v>0</v>
      </c>
      <c r="J4" s="9">
        <f>F4*Supuestos!$B$40*60*Supuestos!$B$48</f>
        <v>0</v>
      </c>
      <c r="K4" s="9">
        <f>F4*Supuestos!$B$40*IF(Supuestos!$B$37=0,1,0)*('Precios Azure'!$C$6+MAX(0,Supuestos!$B$46*E4*Supuestos!$B$30/1000000-13)*'Precios Azure'!$C$7)</f>
        <v>0</v>
      </c>
      <c r="L4" s="9">
        <f>F4*Supuestos!$B$40*Supuestos!$B$37*730*'Precios Azure'!$C$8</f>
        <v>0</v>
      </c>
      <c r="M4" s="9">
        <f>F4*Supuestos!$B$40*Supuestos!$B$38*730*'Precios Azure'!$C$9</f>
        <v>0</v>
      </c>
      <c r="N4" s="9">
        <f>F4*Supuestos!$B$40*Supuestos!$B$46*E4*(Supuestos!$B$31/1000*'Precios Azure'!$C$10+Supuestos!$B$32/1000*'Precios Azure'!$C$11)</f>
        <v>0</v>
      </c>
      <c r="O4" s="9">
        <f>F4*Supuestos!$B$40*((Supuestos!$B$46*E4*Supuestos!$B$22*Supuestos!$B$28/1000*Supuestos!$B$29/30.4+Supuestos!$B$46*E4*Supuestos!$B$33/1000000*Supuestos!$B$34)*'Precios Azure'!$C$12+Supuestos!$B$46*E4*Supuestos!$B$35/10000*'Precios Azure'!$C$13)</f>
        <v>0</v>
      </c>
      <c r="P4" s="9">
        <f>F4*Supuestos!$B$40*30.4*'Precios Azure'!$C$5</f>
        <v>0</v>
      </c>
      <c r="Q4" s="9">
        <f>F4*Supuestos!$B$40*MAX(0,Supuestos!$B$36-5)*'Precios Azure'!$C$14</f>
        <v>0</v>
      </c>
      <c r="R4" s="9">
        <f>F4*Supuestos!$B$39*Supuestos!$B$44</f>
        <v>0</v>
      </c>
      <c r="S4" s="9">
        <f t="shared" si="0"/>
        <v>0</v>
      </c>
      <c r="T4" s="9">
        <f>D4*Supuestos!$B$19*Supuestos!$B$8</f>
        <v>0</v>
      </c>
      <c r="U4" s="9">
        <f t="shared" si="1"/>
        <v>-10596.666666666666</v>
      </c>
      <c r="V4" s="9">
        <f>SUM($U$2:U4)</f>
        <v>-49866.666666666664</v>
      </c>
    </row>
    <row r="5" spans="1:22" x14ac:dyDescent="0.25">
      <c r="A5">
        <v>4</v>
      </c>
      <c r="B5" s="9">
        <f>IF(A5=1,Supuestos!$B$11,IF(A5=2,Supuestos!$B$12,IF(A5=3,Supuestos!$B$13,0)))*Supuestos!$B$45</f>
        <v>0</v>
      </c>
      <c r="C5" s="6">
        <f>IF(A5&lt;Supuestos!$B$15,0,IF(A5&gt;=Supuestos!$B$16,1,0.1+0.9*(A5-Supuestos!$B$15)/(Supuestos!$B$16-Supuestos!$B$15)))</f>
        <v>0.1</v>
      </c>
      <c r="D5" s="9">
        <f>Supuestos!$B$17*Supuestos!$B$18*C5</f>
        <v>150</v>
      </c>
      <c r="E5" s="6">
        <f>IF(F5=0,0,IF(D5=0,0.05*Supuestos!$B$18,D5/Supuestos!$B$17))</f>
        <v>7.4999999999999997E-2</v>
      </c>
      <c r="F5" s="9">
        <f>IF(A5&gt;=Supuestos!$B$14,1,0)</f>
        <v>1</v>
      </c>
      <c r="G5" s="9">
        <f>IF(Supuestos!$B$9*Supuestos!$B$20*E5&gt;0,MAX(Supuestos!$B$25,CEILING(Supuestos!$B$9*Supuestos!$B$20*E5/Supuestos!$B$23,1)+Supuestos!$B$24),Supuestos!$B$25)</f>
        <v>2</v>
      </c>
      <c r="H5" s="9">
        <f>IF(Supuestos!$B$9*Supuestos!$B$21*E5&gt;0,MAX(Supuestos!$B$25,CEILING(Supuestos!$B$9*Supuestos!$B$21*E5/Supuestos!$B$23,1)+Supuestos!$B$24),Supuestos!$B$25)</f>
        <v>2</v>
      </c>
      <c r="I5" s="9">
        <f>F5*Supuestos!$B$40*(G5+H5)*365*Supuestos!$B$48</f>
        <v>141.61505702399998</v>
      </c>
      <c r="J5" s="9">
        <f>F5*Supuestos!$B$40*60*Supuestos!$B$48</f>
        <v>5.8197968639999997</v>
      </c>
      <c r="K5" s="9">
        <f>F5*Supuestos!$B$40*IF(Supuestos!$B$37=0,1,0)*('Precios Azure'!$C$6+MAX(0,Supuestos!$B$46*E5*Supuestos!$B$30/1000000-13)*'Precios Azure'!$C$7)</f>
        <v>0</v>
      </c>
      <c r="L5" s="9">
        <f>F5*Supuestos!$B$40*Supuestos!$B$37*730*'Precios Azure'!$C$8</f>
        <v>434.35173739999993</v>
      </c>
      <c r="M5" s="9">
        <f>F5*Supuestos!$B$40*Supuestos!$B$38*730*'Precios Azure'!$C$9</f>
        <v>449.05647546399996</v>
      </c>
      <c r="N5" s="9">
        <f>F5*Supuestos!$B$40*Supuestos!$B$46*E5*(Supuestos!$B$31/1000*'Precios Azure'!$C$10+Supuestos!$B$32/1000*'Precios Azure'!$C$11)</f>
        <v>18.513744091106286</v>
      </c>
      <c r="O5" s="9">
        <f>F5*Supuestos!$B$40*((Supuestos!$B$46*E5*Supuestos!$B$22*Supuestos!$B$28/1000*Supuestos!$B$29/30.4+Supuestos!$B$46*E5*Supuestos!$B$33/1000000*Supuestos!$B$34)*'Precios Azure'!$C$12+Supuestos!$B$46*E5*Supuestos!$B$35/10000*'Precios Azure'!$C$13)</f>
        <v>11.023234806357712</v>
      </c>
      <c r="P5" s="9">
        <f>F5*Supuestos!$B$40*30.4*'Precios Azure'!$C$5</f>
        <v>3.2490273356799997</v>
      </c>
      <c r="Q5" s="9">
        <f>F5*Supuestos!$B$40*MAX(0,Supuestos!$B$36-5)*'Precios Azure'!$C$14</f>
        <v>101.61550079999999</v>
      </c>
      <c r="R5" s="9">
        <f>F5*Supuestos!$B$39*Supuestos!$B$44</f>
        <v>850</v>
      </c>
      <c r="S5" s="9">
        <f t="shared" si="0"/>
        <v>2015.244573785144</v>
      </c>
      <c r="T5" s="9">
        <f>D5*Supuestos!$B$19*Supuestos!$B$8</f>
        <v>2400</v>
      </c>
      <c r="U5" s="9">
        <f t="shared" si="1"/>
        <v>384.75542621485602</v>
      </c>
      <c r="V5" s="9">
        <f>SUM($U$2:U5)</f>
        <v>-49481.911240451809</v>
      </c>
    </row>
    <row r="6" spans="1:22" x14ac:dyDescent="0.25">
      <c r="A6">
        <v>5</v>
      </c>
      <c r="B6" s="9">
        <f>IF(A6=1,Supuestos!$B$11,IF(A6=2,Supuestos!$B$12,IF(A6=3,Supuestos!$B$13,0)))*Supuestos!$B$45</f>
        <v>0</v>
      </c>
      <c r="C6" s="6">
        <f>IF(A6&lt;Supuestos!$B$15,0,IF(A6&gt;=Supuestos!$B$16,1,0.1+0.9*(A6-Supuestos!$B$15)/(Supuestos!$B$16-Supuestos!$B$15)))</f>
        <v>0.21250000000000002</v>
      </c>
      <c r="D6" s="9">
        <f>Supuestos!$B$17*Supuestos!$B$18*C6</f>
        <v>318.75000000000006</v>
      </c>
      <c r="E6" s="6">
        <f>IF(F6=0,0,IF(D6=0,0.05*Supuestos!$B$18,D6/Supuestos!$B$17))</f>
        <v>0.15937500000000002</v>
      </c>
      <c r="F6" s="9">
        <f>IF(A6&gt;=Supuestos!$B$14,1,0)</f>
        <v>1</v>
      </c>
      <c r="G6" s="9">
        <f>IF(Supuestos!$B$9*Supuestos!$B$20*E6&gt;0,MAX(Supuestos!$B$25,CEILING(Supuestos!$B$9*Supuestos!$B$20*E6/Supuestos!$B$23,1)+Supuestos!$B$24),Supuestos!$B$25)</f>
        <v>2</v>
      </c>
      <c r="H6" s="9">
        <f>IF(Supuestos!$B$9*Supuestos!$B$21*E6&gt;0,MAX(Supuestos!$B$25,CEILING(Supuestos!$B$9*Supuestos!$B$21*E6/Supuestos!$B$23,1)+Supuestos!$B$24),Supuestos!$B$25)</f>
        <v>2</v>
      </c>
      <c r="I6" s="9">
        <f>F6*Supuestos!$B$40*(G6+H6)*365*Supuestos!$B$48</f>
        <v>141.61505702399998</v>
      </c>
      <c r="J6" s="9">
        <f>F6*Supuestos!$B$40*60*Supuestos!$B$48</f>
        <v>5.8197968639999997</v>
      </c>
      <c r="K6" s="9">
        <f>F6*Supuestos!$B$40*IF(Supuestos!$B$37=0,1,0)*('Precios Azure'!$C$6+MAX(0,Supuestos!$B$46*E6*Supuestos!$B$30/1000000-13)*'Precios Azure'!$C$7)</f>
        <v>0</v>
      </c>
      <c r="L6" s="9">
        <f>F6*Supuestos!$B$40*Supuestos!$B$37*730*'Precios Azure'!$C$8</f>
        <v>434.35173739999993</v>
      </c>
      <c r="M6" s="9">
        <f>F6*Supuestos!$B$40*Supuestos!$B$38*730*'Precios Azure'!$C$9</f>
        <v>449.05647546399996</v>
      </c>
      <c r="N6" s="9">
        <f>F6*Supuestos!$B$40*Supuestos!$B$46*E6*(Supuestos!$B$31/1000*'Precios Azure'!$C$10+Supuestos!$B$32/1000*'Precios Azure'!$C$11)</f>
        <v>39.341706193600864</v>
      </c>
      <c r="O6" s="9">
        <f>F6*Supuestos!$B$40*((Supuestos!$B$46*E6*Supuestos!$B$22*Supuestos!$B$28/1000*Supuestos!$B$29/30.4+Supuestos!$B$46*E6*Supuestos!$B$33/1000000*Supuestos!$B$34)*'Precios Azure'!$C$12+Supuestos!$B$46*E6*Supuestos!$B$35/10000*'Precios Azure'!$C$13)</f>
        <v>23.424373963510142</v>
      </c>
      <c r="P6" s="9">
        <f>F6*Supuestos!$B$40*30.4*'Precios Azure'!$C$5</f>
        <v>3.2490273356799997</v>
      </c>
      <c r="Q6" s="9">
        <f>F6*Supuestos!$B$40*MAX(0,Supuestos!$B$36-5)*'Precios Azure'!$C$14</f>
        <v>101.61550079999999</v>
      </c>
      <c r="R6" s="9">
        <f>F6*Supuestos!$B$39*Supuestos!$B$44</f>
        <v>850</v>
      </c>
      <c r="S6" s="9">
        <f t="shared" si="0"/>
        <v>2048.473675044791</v>
      </c>
      <c r="T6" s="9">
        <f>D6*Supuestos!$B$19*Supuestos!$B$8</f>
        <v>5100.0000000000009</v>
      </c>
      <c r="U6" s="9">
        <f t="shared" si="1"/>
        <v>3051.5263249552099</v>
      </c>
      <c r="V6" s="9">
        <f>SUM($U$2:U6)</f>
        <v>-46430.384915496601</v>
      </c>
    </row>
    <row r="7" spans="1:22" x14ac:dyDescent="0.25">
      <c r="A7">
        <v>6</v>
      </c>
      <c r="B7" s="9">
        <f>IF(A7=1,Supuestos!$B$11,IF(A7=2,Supuestos!$B$12,IF(A7=3,Supuestos!$B$13,0)))*Supuestos!$B$45</f>
        <v>0</v>
      </c>
      <c r="C7" s="6">
        <f>IF(A7&lt;Supuestos!$B$15,0,IF(A7&gt;=Supuestos!$B$16,1,0.1+0.9*(A7-Supuestos!$B$15)/(Supuestos!$B$16-Supuestos!$B$15)))</f>
        <v>0.32500000000000001</v>
      </c>
      <c r="D7" s="9">
        <f>Supuestos!$B$17*Supuestos!$B$18*C7</f>
        <v>487.5</v>
      </c>
      <c r="E7" s="6">
        <f>IF(F7=0,0,IF(D7=0,0.05*Supuestos!$B$18,D7/Supuestos!$B$17))</f>
        <v>0.24374999999999999</v>
      </c>
      <c r="F7" s="9">
        <f>IF(A7&gt;=Supuestos!$B$14,1,0)</f>
        <v>1</v>
      </c>
      <c r="G7" s="9">
        <f>IF(Supuestos!$B$9*Supuestos!$B$20*E7&gt;0,MAX(Supuestos!$B$25,CEILING(Supuestos!$B$9*Supuestos!$B$20*E7/Supuestos!$B$23,1)+Supuestos!$B$24),Supuestos!$B$25)</f>
        <v>3</v>
      </c>
      <c r="H7" s="9">
        <f>IF(Supuestos!$B$9*Supuestos!$B$21*E7&gt;0,MAX(Supuestos!$B$25,CEILING(Supuestos!$B$9*Supuestos!$B$21*E7/Supuestos!$B$23,1)+Supuestos!$B$24),Supuestos!$B$25)</f>
        <v>2</v>
      </c>
      <c r="I7" s="9">
        <f>F7*Supuestos!$B$40*(G7+H7)*365*Supuestos!$B$48</f>
        <v>177.01882128</v>
      </c>
      <c r="J7" s="9">
        <f>F7*Supuestos!$B$40*60*Supuestos!$B$48</f>
        <v>5.8197968639999997</v>
      </c>
      <c r="K7" s="9">
        <f>F7*Supuestos!$B$40*IF(Supuestos!$B$37=0,1,0)*('Precios Azure'!$C$6+MAX(0,Supuestos!$B$46*E7*Supuestos!$B$30/1000000-13)*'Precios Azure'!$C$7)</f>
        <v>0</v>
      </c>
      <c r="L7" s="9">
        <f>F7*Supuestos!$B$40*Supuestos!$B$37*730*'Precios Azure'!$C$8</f>
        <v>434.35173739999993</v>
      </c>
      <c r="M7" s="9">
        <f>F7*Supuestos!$B$40*Supuestos!$B$38*730*'Precios Azure'!$C$9</f>
        <v>449.05647546399996</v>
      </c>
      <c r="N7" s="9">
        <f>F7*Supuestos!$B$40*Supuestos!$B$46*E7*(Supuestos!$B$31/1000*'Precios Azure'!$C$10+Supuestos!$B$32/1000*'Precios Azure'!$C$11)</f>
        <v>60.169668296095431</v>
      </c>
      <c r="O7" s="9">
        <f>F7*Supuestos!$B$40*((Supuestos!$B$46*E7*Supuestos!$B$22*Supuestos!$B$28/1000*Supuestos!$B$29/30.4+Supuestos!$B$46*E7*Supuestos!$B$33/1000000*Supuestos!$B$34)*'Precios Azure'!$C$12+Supuestos!$B$46*E7*Supuestos!$B$35/10000*'Precios Azure'!$C$13)</f>
        <v>35.825513120662563</v>
      </c>
      <c r="P7" s="9">
        <f>F7*Supuestos!$B$40*30.4*'Precios Azure'!$C$5</f>
        <v>3.2490273356799997</v>
      </c>
      <c r="Q7" s="9">
        <f>F7*Supuestos!$B$40*MAX(0,Supuestos!$B$36-5)*'Precios Azure'!$C$14</f>
        <v>101.61550079999999</v>
      </c>
      <c r="R7" s="9">
        <f>F7*Supuestos!$B$39*Supuestos!$B$44</f>
        <v>850</v>
      </c>
      <c r="S7" s="9">
        <f t="shared" si="0"/>
        <v>2117.1065405604377</v>
      </c>
      <c r="T7" s="9">
        <f>D7*Supuestos!$B$19*Supuestos!$B$8</f>
        <v>7800</v>
      </c>
      <c r="U7" s="9">
        <f t="shared" si="1"/>
        <v>5682.8934594395623</v>
      </c>
      <c r="V7" s="9">
        <f>SUM($U$2:U7)</f>
        <v>-40747.49145605704</v>
      </c>
    </row>
    <row r="8" spans="1:22" x14ac:dyDescent="0.25">
      <c r="A8">
        <v>7</v>
      </c>
      <c r="B8" s="9">
        <f>IF(A8=1,Supuestos!$B$11,IF(A8=2,Supuestos!$B$12,IF(A8=3,Supuestos!$B$13,0)))*Supuestos!$B$45</f>
        <v>0</v>
      </c>
      <c r="C8" s="6">
        <f>IF(A8&lt;Supuestos!$B$15,0,IF(A8&gt;=Supuestos!$B$16,1,0.1+0.9*(A8-Supuestos!$B$15)/(Supuestos!$B$16-Supuestos!$B$15)))</f>
        <v>0.4375</v>
      </c>
      <c r="D8" s="9">
        <f>Supuestos!$B$17*Supuestos!$B$18*C8</f>
        <v>656.25</v>
      </c>
      <c r="E8" s="6">
        <f>IF(F8=0,0,IF(D8=0,0.05*Supuestos!$B$18,D8/Supuestos!$B$17))</f>
        <v>0.328125</v>
      </c>
      <c r="F8" s="9">
        <f>IF(A8&gt;=Supuestos!$B$14,1,0)</f>
        <v>1</v>
      </c>
      <c r="G8" s="9">
        <f>IF(Supuestos!$B$9*Supuestos!$B$20*E8&gt;0,MAX(Supuestos!$B$25,CEILING(Supuestos!$B$9*Supuestos!$B$20*E8/Supuestos!$B$23,1)+Supuestos!$B$24),Supuestos!$B$25)</f>
        <v>3</v>
      </c>
      <c r="H8" s="9">
        <f>IF(Supuestos!$B$9*Supuestos!$B$21*E8&gt;0,MAX(Supuestos!$B$25,CEILING(Supuestos!$B$9*Supuestos!$B$21*E8/Supuestos!$B$23,1)+Supuestos!$B$24),Supuestos!$B$25)</f>
        <v>2</v>
      </c>
      <c r="I8" s="9">
        <f>F8*Supuestos!$B$40*(G8+H8)*365*Supuestos!$B$48</f>
        <v>177.01882128</v>
      </c>
      <c r="J8" s="9">
        <f>F8*Supuestos!$B$40*60*Supuestos!$B$48</f>
        <v>5.8197968639999997</v>
      </c>
      <c r="K8" s="9">
        <f>F8*Supuestos!$B$40*IF(Supuestos!$B$37=0,1,0)*('Precios Azure'!$C$6+MAX(0,Supuestos!$B$46*E8*Supuestos!$B$30/1000000-13)*'Precios Azure'!$C$7)</f>
        <v>0</v>
      </c>
      <c r="L8" s="9">
        <f>F8*Supuestos!$B$40*Supuestos!$B$37*730*'Precios Azure'!$C$8</f>
        <v>434.35173739999993</v>
      </c>
      <c r="M8" s="9">
        <f>F8*Supuestos!$B$40*Supuestos!$B$38*730*'Precios Azure'!$C$9</f>
        <v>449.05647546399996</v>
      </c>
      <c r="N8" s="9">
        <f>F8*Supuestos!$B$40*Supuestos!$B$46*E8*(Supuestos!$B$31/1000*'Precios Azure'!$C$10+Supuestos!$B$32/1000*'Precios Azure'!$C$11)</f>
        <v>80.997630398590005</v>
      </c>
      <c r="O8" s="9">
        <f>F8*Supuestos!$B$40*((Supuestos!$B$46*E8*Supuestos!$B$22*Supuestos!$B$28/1000*Supuestos!$B$29/30.4+Supuestos!$B$46*E8*Supuestos!$B$33/1000000*Supuestos!$B$34)*'Precios Azure'!$C$12+Supuestos!$B$46*E8*Supuestos!$B$35/10000*'Precios Azure'!$C$13)</f>
        <v>48.226652277814985</v>
      </c>
      <c r="P8" s="9">
        <f>F8*Supuestos!$B$40*30.4*'Precios Azure'!$C$5</f>
        <v>3.2490273356799997</v>
      </c>
      <c r="Q8" s="9">
        <f>F8*Supuestos!$B$40*MAX(0,Supuestos!$B$36-5)*'Precios Azure'!$C$14</f>
        <v>101.61550079999999</v>
      </c>
      <c r="R8" s="9">
        <f>F8*Supuestos!$B$39*Supuestos!$B$44</f>
        <v>850</v>
      </c>
      <c r="S8" s="9">
        <f t="shared" si="0"/>
        <v>2150.3356418200847</v>
      </c>
      <c r="T8" s="9">
        <f>D8*Supuestos!$B$19*Supuestos!$B$8</f>
        <v>10500</v>
      </c>
      <c r="U8" s="9">
        <f t="shared" si="1"/>
        <v>8349.6643581799144</v>
      </c>
      <c r="V8" s="9">
        <f>SUM($U$2:U8)</f>
        <v>-32397.827097877125</v>
      </c>
    </row>
    <row r="9" spans="1:22" x14ac:dyDescent="0.25">
      <c r="A9">
        <v>8</v>
      </c>
      <c r="B9" s="9">
        <f>IF(A9=1,Supuestos!$B$11,IF(A9=2,Supuestos!$B$12,IF(A9=3,Supuestos!$B$13,0)))*Supuestos!$B$45</f>
        <v>0</v>
      </c>
      <c r="C9" s="6">
        <f>IF(A9&lt;Supuestos!$B$15,0,IF(A9&gt;=Supuestos!$B$16,1,0.1+0.9*(A9-Supuestos!$B$15)/(Supuestos!$B$16-Supuestos!$B$15)))</f>
        <v>0.55000000000000004</v>
      </c>
      <c r="D9" s="9">
        <f>Supuestos!$B$17*Supuestos!$B$18*C9</f>
        <v>825.00000000000011</v>
      </c>
      <c r="E9" s="6">
        <f>IF(F9=0,0,IF(D9=0,0.05*Supuestos!$B$18,D9/Supuestos!$B$17))</f>
        <v>0.41250000000000003</v>
      </c>
      <c r="F9" s="9">
        <f>IF(A9&gt;=Supuestos!$B$14,1,0)</f>
        <v>1</v>
      </c>
      <c r="G9" s="9">
        <f>IF(Supuestos!$B$9*Supuestos!$B$20*E9&gt;0,MAX(Supuestos!$B$25,CEILING(Supuestos!$B$9*Supuestos!$B$20*E9/Supuestos!$B$23,1)+Supuestos!$B$24),Supuestos!$B$25)</f>
        <v>3</v>
      </c>
      <c r="H9" s="9">
        <f>IF(Supuestos!$B$9*Supuestos!$B$21*E9&gt;0,MAX(Supuestos!$B$25,CEILING(Supuestos!$B$9*Supuestos!$B$21*E9/Supuestos!$B$23,1)+Supuestos!$B$24),Supuestos!$B$25)</f>
        <v>2</v>
      </c>
      <c r="I9" s="9">
        <f>F9*Supuestos!$B$40*(G9+H9)*365*Supuestos!$B$48</f>
        <v>177.01882128</v>
      </c>
      <c r="J9" s="9">
        <f>F9*Supuestos!$B$40*60*Supuestos!$B$48</f>
        <v>5.8197968639999997</v>
      </c>
      <c r="K9" s="9">
        <f>F9*Supuestos!$B$40*IF(Supuestos!$B$37=0,1,0)*('Precios Azure'!$C$6+MAX(0,Supuestos!$B$46*E9*Supuestos!$B$30/1000000-13)*'Precios Azure'!$C$7)</f>
        <v>0</v>
      </c>
      <c r="L9" s="9">
        <f>F9*Supuestos!$B$40*Supuestos!$B$37*730*'Precios Azure'!$C$8</f>
        <v>434.35173739999993</v>
      </c>
      <c r="M9" s="9">
        <f>F9*Supuestos!$B$40*Supuestos!$B$38*730*'Precios Azure'!$C$9</f>
        <v>449.05647546399996</v>
      </c>
      <c r="N9" s="9">
        <f>F9*Supuestos!$B$40*Supuestos!$B$46*E9*(Supuestos!$B$31/1000*'Precios Azure'!$C$10+Supuestos!$B$32/1000*'Precios Azure'!$C$11)</f>
        <v>101.82559250108457</v>
      </c>
      <c r="O9" s="9">
        <f>F9*Supuestos!$B$40*((Supuestos!$B$46*E9*Supuestos!$B$22*Supuestos!$B$28/1000*Supuestos!$B$29/30.4+Supuestos!$B$46*E9*Supuestos!$B$33/1000000*Supuestos!$B$34)*'Precios Azure'!$C$12+Supuestos!$B$46*E9*Supuestos!$B$35/10000*'Precios Azure'!$C$13)</f>
        <v>60.627791434967399</v>
      </c>
      <c r="P9" s="9">
        <f>F9*Supuestos!$B$40*30.4*'Precios Azure'!$C$5</f>
        <v>3.2490273356799997</v>
      </c>
      <c r="Q9" s="9">
        <f>F9*Supuestos!$B$40*MAX(0,Supuestos!$B$36-5)*'Precios Azure'!$C$14</f>
        <v>101.61550079999999</v>
      </c>
      <c r="R9" s="9">
        <f>F9*Supuestos!$B$39*Supuestos!$B$44</f>
        <v>850</v>
      </c>
      <c r="S9" s="9">
        <f t="shared" si="0"/>
        <v>2183.5647430797317</v>
      </c>
      <c r="T9" s="9">
        <f>D9*Supuestos!$B$19*Supuestos!$B$8</f>
        <v>13200.000000000004</v>
      </c>
      <c r="U9" s="9">
        <f t="shared" si="1"/>
        <v>11016.435256920271</v>
      </c>
      <c r="V9" s="9">
        <f>SUM($U$2:U9)</f>
        <v>-21381.391840956854</v>
      </c>
    </row>
    <row r="10" spans="1:22" x14ac:dyDescent="0.25">
      <c r="A10">
        <v>9</v>
      </c>
      <c r="B10" s="9">
        <f>IF(A10=1,Supuestos!$B$11,IF(A10=2,Supuestos!$B$12,IF(A10=3,Supuestos!$B$13,0)))*Supuestos!$B$45</f>
        <v>0</v>
      </c>
      <c r="C10" s="6">
        <f>IF(A10&lt;Supuestos!$B$15,0,IF(A10&gt;=Supuestos!$B$16,1,0.1+0.9*(A10-Supuestos!$B$15)/(Supuestos!$B$16-Supuestos!$B$15)))</f>
        <v>0.66249999999999998</v>
      </c>
      <c r="D10" s="9">
        <f>Supuestos!$B$17*Supuestos!$B$18*C10</f>
        <v>993.75</v>
      </c>
      <c r="E10" s="6">
        <f>IF(F10=0,0,IF(D10=0,0.05*Supuestos!$B$18,D10/Supuestos!$B$17))</f>
        <v>0.49687500000000001</v>
      </c>
      <c r="F10" s="9">
        <f>IF(A10&gt;=Supuestos!$B$14,1,0)</f>
        <v>1</v>
      </c>
      <c r="G10" s="9">
        <f>IF(Supuestos!$B$9*Supuestos!$B$20*E10&gt;0,MAX(Supuestos!$B$25,CEILING(Supuestos!$B$9*Supuestos!$B$20*E10/Supuestos!$B$23,1)+Supuestos!$B$24),Supuestos!$B$25)</f>
        <v>4</v>
      </c>
      <c r="H10" s="9">
        <f>IF(Supuestos!$B$9*Supuestos!$B$21*E10&gt;0,MAX(Supuestos!$B$25,CEILING(Supuestos!$B$9*Supuestos!$B$21*E10/Supuestos!$B$23,1)+Supuestos!$B$24),Supuestos!$B$25)</f>
        <v>2</v>
      </c>
      <c r="I10" s="9">
        <f>F10*Supuestos!$B$40*(G10+H10)*365*Supuestos!$B$48</f>
        <v>212.42258553599996</v>
      </c>
      <c r="J10" s="9">
        <f>F10*Supuestos!$B$40*60*Supuestos!$B$48</f>
        <v>5.8197968639999997</v>
      </c>
      <c r="K10" s="9">
        <f>F10*Supuestos!$B$40*IF(Supuestos!$B$37=0,1,0)*('Precios Azure'!$C$6+MAX(0,Supuestos!$B$46*E10*Supuestos!$B$30/1000000-13)*'Precios Azure'!$C$7)</f>
        <v>0</v>
      </c>
      <c r="L10" s="9">
        <f>F10*Supuestos!$B$40*Supuestos!$B$37*730*'Precios Azure'!$C$8</f>
        <v>434.35173739999993</v>
      </c>
      <c r="M10" s="9">
        <f>F10*Supuestos!$B$40*Supuestos!$B$38*730*'Precios Azure'!$C$9</f>
        <v>449.05647546399996</v>
      </c>
      <c r="N10" s="9">
        <f>F10*Supuestos!$B$40*Supuestos!$B$46*E10*(Supuestos!$B$31/1000*'Precios Azure'!$C$10+Supuestos!$B$32/1000*'Precios Azure'!$C$11)</f>
        <v>122.65355460357915</v>
      </c>
      <c r="O10" s="9">
        <f>F10*Supuestos!$B$40*((Supuestos!$B$46*E10*Supuestos!$B$22*Supuestos!$B$28/1000*Supuestos!$B$29/30.4+Supuestos!$B$46*E10*Supuestos!$B$33/1000000*Supuestos!$B$34)*'Precios Azure'!$C$12+Supuestos!$B$46*E10*Supuestos!$B$35/10000*'Precios Azure'!$C$13)</f>
        <v>73.028930592119821</v>
      </c>
      <c r="P10" s="9">
        <f>F10*Supuestos!$B$40*30.4*'Precios Azure'!$C$5</f>
        <v>3.2490273356799997</v>
      </c>
      <c r="Q10" s="9">
        <f>F10*Supuestos!$B$40*MAX(0,Supuestos!$B$36-5)*'Precios Azure'!$C$14</f>
        <v>101.61550079999999</v>
      </c>
      <c r="R10" s="9">
        <f>F10*Supuestos!$B$39*Supuestos!$B$44</f>
        <v>850</v>
      </c>
      <c r="S10" s="9">
        <f t="shared" si="0"/>
        <v>2252.1976085953793</v>
      </c>
      <c r="T10" s="9">
        <f>D10*Supuestos!$B$19*Supuestos!$B$8</f>
        <v>15900</v>
      </c>
      <c r="U10" s="9">
        <f t="shared" si="1"/>
        <v>13647.802391404621</v>
      </c>
      <c r="V10" s="9">
        <f>SUM($U$2:U10)</f>
        <v>-7733.5894495522334</v>
      </c>
    </row>
    <row r="11" spans="1:22" x14ac:dyDescent="0.25">
      <c r="A11">
        <v>10</v>
      </c>
      <c r="B11" s="9">
        <f>IF(A11=1,Supuestos!$B$11,IF(A11=2,Supuestos!$B$12,IF(A11=3,Supuestos!$B$13,0)))*Supuestos!$B$45</f>
        <v>0</v>
      </c>
      <c r="C11" s="6">
        <f>IF(A11&lt;Supuestos!$B$15,0,IF(A11&gt;=Supuestos!$B$16,1,0.1+0.9*(A11-Supuestos!$B$15)/(Supuestos!$B$16-Supuestos!$B$15)))</f>
        <v>0.77500000000000002</v>
      </c>
      <c r="D11" s="9">
        <f>Supuestos!$B$17*Supuestos!$B$18*C11</f>
        <v>1162.5</v>
      </c>
      <c r="E11" s="6">
        <f>IF(F11=0,0,IF(D11=0,0.05*Supuestos!$B$18,D11/Supuestos!$B$17))</f>
        <v>0.58125000000000004</v>
      </c>
      <c r="F11" s="9">
        <f>IF(A11&gt;=Supuestos!$B$14,1,0)</f>
        <v>1</v>
      </c>
      <c r="G11" s="9">
        <f>IF(Supuestos!$B$9*Supuestos!$B$20*E11&gt;0,MAX(Supuestos!$B$25,CEILING(Supuestos!$B$9*Supuestos!$B$20*E11/Supuestos!$B$23,1)+Supuestos!$B$24),Supuestos!$B$25)</f>
        <v>4</v>
      </c>
      <c r="H11" s="9">
        <f>IF(Supuestos!$B$9*Supuestos!$B$21*E11&gt;0,MAX(Supuestos!$B$25,CEILING(Supuestos!$B$9*Supuestos!$B$21*E11/Supuestos!$B$23,1)+Supuestos!$B$24),Supuestos!$B$25)</f>
        <v>2</v>
      </c>
      <c r="I11" s="9">
        <f>F11*Supuestos!$B$40*(G11+H11)*365*Supuestos!$B$48</f>
        <v>212.42258553599996</v>
      </c>
      <c r="J11" s="9">
        <f>F11*Supuestos!$B$40*60*Supuestos!$B$48</f>
        <v>5.8197968639999997</v>
      </c>
      <c r="K11" s="9">
        <f>F11*Supuestos!$B$40*IF(Supuestos!$B$37=0,1,0)*('Precios Azure'!$C$6+MAX(0,Supuestos!$B$46*E11*Supuestos!$B$30/1000000-13)*'Precios Azure'!$C$7)</f>
        <v>0</v>
      </c>
      <c r="L11" s="9">
        <f>F11*Supuestos!$B$40*Supuestos!$B$37*730*'Precios Azure'!$C$8</f>
        <v>434.35173739999993</v>
      </c>
      <c r="M11" s="9">
        <f>F11*Supuestos!$B$40*Supuestos!$B$38*730*'Precios Azure'!$C$9</f>
        <v>449.05647546399996</v>
      </c>
      <c r="N11" s="9">
        <f>F11*Supuestos!$B$40*Supuestos!$B$46*E11*(Supuestos!$B$31/1000*'Precios Azure'!$C$10+Supuestos!$B$32/1000*'Precios Azure'!$C$11)</f>
        <v>143.48151670607373</v>
      </c>
      <c r="O11" s="9">
        <f>F11*Supuestos!$B$40*((Supuestos!$B$46*E11*Supuestos!$B$22*Supuestos!$B$28/1000*Supuestos!$B$29/30.4+Supuestos!$B$46*E11*Supuestos!$B$33/1000000*Supuestos!$B$34)*'Precios Azure'!$C$12+Supuestos!$B$46*E11*Supuestos!$B$35/10000*'Precios Azure'!$C$13)</f>
        <v>85.430069749272263</v>
      </c>
      <c r="P11" s="9">
        <f>F11*Supuestos!$B$40*30.4*'Precios Azure'!$C$5</f>
        <v>3.2490273356799997</v>
      </c>
      <c r="Q11" s="9">
        <f>F11*Supuestos!$B$40*MAX(0,Supuestos!$B$36-5)*'Precios Azure'!$C$14</f>
        <v>101.61550079999999</v>
      </c>
      <c r="R11" s="9">
        <f>F11*Supuestos!$B$39*Supuestos!$B$44</f>
        <v>850</v>
      </c>
      <c r="S11" s="9">
        <f t="shared" si="0"/>
        <v>2285.4267098550263</v>
      </c>
      <c r="T11" s="9">
        <f>D11*Supuestos!$B$19*Supuestos!$B$8</f>
        <v>18600</v>
      </c>
      <c r="U11" s="9">
        <f t="shared" si="1"/>
        <v>16314.573290144974</v>
      </c>
      <c r="V11" s="9">
        <f>SUM($U$2:U11)</f>
        <v>8580.9838405927403</v>
      </c>
    </row>
    <row r="12" spans="1:22" x14ac:dyDescent="0.25">
      <c r="A12">
        <v>11</v>
      </c>
      <c r="B12" s="9">
        <f>IF(A12=1,Supuestos!$B$11,IF(A12=2,Supuestos!$B$12,IF(A12=3,Supuestos!$B$13,0)))*Supuestos!$B$45</f>
        <v>0</v>
      </c>
      <c r="C12" s="6">
        <f>IF(A12&lt;Supuestos!$B$15,0,IF(A12&gt;=Supuestos!$B$16,1,0.1+0.9*(A12-Supuestos!$B$15)/(Supuestos!$B$16-Supuestos!$B$15)))</f>
        <v>0.88749999999999996</v>
      </c>
      <c r="D12" s="9">
        <f>Supuestos!$B$17*Supuestos!$B$18*C12</f>
        <v>1331.25</v>
      </c>
      <c r="E12" s="6">
        <f>IF(F12=0,0,IF(D12=0,0.05*Supuestos!$B$18,D12/Supuestos!$B$17))</f>
        <v>0.66562500000000002</v>
      </c>
      <c r="F12" s="9">
        <f>IF(A12&gt;=Supuestos!$B$14,1,0)</f>
        <v>1</v>
      </c>
      <c r="G12" s="9">
        <f>IF(Supuestos!$B$9*Supuestos!$B$20*E12&gt;0,MAX(Supuestos!$B$25,CEILING(Supuestos!$B$9*Supuestos!$B$20*E12/Supuestos!$B$23,1)+Supuestos!$B$24),Supuestos!$B$25)</f>
        <v>4</v>
      </c>
      <c r="H12" s="9">
        <f>IF(Supuestos!$B$9*Supuestos!$B$21*E12&gt;0,MAX(Supuestos!$B$25,CEILING(Supuestos!$B$9*Supuestos!$B$21*E12/Supuestos!$B$23,1)+Supuestos!$B$24),Supuestos!$B$25)</f>
        <v>2</v>
      </c>
      <c r="I12" s="9">
        <f>F12*Supuestos!$B$40*(G12+H12)*365*Supuestos!$B$48</f>
        <v>212.42258553599996</v>
      </c>
      <c r="J12" s="9">
        <f>F12*Supuestos!$B$40*60*Supuestos!$B$48</f>
        <v>5.8197968639999997</v>
      </c>
      <c r="K12" s="9">
        <f>F12*Supuestos!$B$40*IF(Supuestos!$B$37=0,1,0)*('Precios Azure'!$C$6+MAX(0,Supuestos!$B$46*E12*Supuestos!$B$30/1000000-13)*'Precios Azure'!$C$7)</f>
        <v>0</v>
      </c>
      <c r="L12" s="9">
        <f>F12*Supuestos!$B$40*Supuestos!$B$37*730*'Precios Azure'!$C$8</f>
        <v>434.35173739999993</v>
      </c>
      <c r="M12" s="9">
        <f>F12*Supuestos!$B$40*Supuestos!$B$38*730*'Precios Azure'!$C$9</f>
        <v>449.05647546399996</v>
      </c>
      <c r="N12" s="9">
        <f>F12*Supuestos!$B$40*Supuestos!$B$46*E12*(Supuestos!$B$31/1000*'Precios Azure'!$C$10+Supuestos!$B$32/1000*'Precios Azure'!$C$11)</f>
        <v>164.30947880856831</v>
      </c>
      <c r="O12" s="9">
        <f>F12*Supuestos!$B$40*((Supuestos!$B$46*E12*Supuestos!$B$22*Supuestos!$B$28/1000*Supuestos!$B$29/30.4+Supuestos!$B$46*E12*Supuestos!$B$33/1000000*Supuestos!$B$34)*'Precios Azure'!$C$12+Supuestos!$B$46*E12*Supuestos!$B$35/10000*'Precios Azure'!$C$13)</f>
        <v>97.831208906424692</v>
      </c>
      <c r="P12" s="9">
        <f>F12*Supuestos!$B$40*30.4*'Precios Azure'!$C$5</f>
        <v>3.2490273356799997</v>
      </c>
      <c r="Q12" s="9">
        <f>F12*Supuestos!$B$40*MAX(0,Supuestos!$B$36-5)*'Precios Azure'!$C$14</f>
        <v>101.61550079999999</v>
      </c>
      <c r="R12" s="9">
        <f>F12*Supuestos!$B$39*Supuestos!$B$44</f>
        <v>850</v>
      </c>
      <c r="S12" s="9">
        <f t="shared" si="0"/>
        <v>2318.6558111146733</v>
      </c>
      <c r="T12" s="9">
        <f>D12*Supuestos!$B$19*Supuestos!$B$8</f>
        <v>21300</v>
      </c>
      <c r="U12" s="9">
        <f t="shared" si="1"/>
        <v>18981.344188885327</v>
      </c>
      <c r="V12" s="9">
        <f>SUM($U$2:U12)</f>
        <v>27562.328029478067</v>
      </c>
    </row>
    <row r="13" spans="1:22" x14ac:dyDescent="0.25">
      <c r="A13">
        <v>12</v>
      </c>
      <c r="B13" s="9">
        <f>IF(A13=1,Supuestos!$B$11,IF(A13=2,Supuestos!$B$12,IF(A13=3,Supuestos!$B$13,0)))*Supuestos!$B$45</f>
        <v>0</v>
      </c>
      <c r="C13" s="6">
        <f>IF(A13&lt;Supuestos!$B$15,0,IF(A13&gt;=Supuestos!$B$16,1,0.1+0.9*(A13-Supuestos!$B$15)/(Supuestos!$B$16-Supuestos!$B$15)))</f>
        <v>1</v>
      </c>
      <c r="D13" s="9">
        <f>Supuestos!$B$17*Supuestos!$B$18*C13</f>
        <v>1500</v>
      </c>
      <c r="E13" s="6">
        <f>IF(F13=0,0,IF(D13=0,0.05*Supuestos!$B$18,D13/Supuestos!$B$17))</f>
        <v>0.75</v>
      </c>
      <c r="F13" s="9">
        <f>IF(A13&gt;=Supuestos!$B$14,1,0)</f>
        <v>1</v>
      </c>
      <c r="G13" s="9">
        <f>IF(Supuestos!$B$9*Supuestos!$B$20*E13&gt;0,MAX(Supuestos!$B$25,CEILING(Supuestos!$B$9*Supuestos!$B$20*E13/Supuestos!$B$23,1)+Supuestos!$B$24),Supuestos!$B$25)</f>
        <v>5</v>
      </c>
      <c r="H13" s="9">
        <f>IF(Supuestos!$B$9*Supuestos!$B$21*E13&gt;0,MAX(Supuestos!$B$25,CEILING(Supuestos!$B$9*Supuestos!$B$21*E13/Supuestos!$B$23,1)+Supuestos!$B$24),Supuestos!$B$25)</f>
        <v>2</v>
      </c>
      <c r="I13" s="9">
        <f>F13*Supuestos!$B$40*(G13+H13)*365*Supuestos!$B$48</f>
        <v>247.82634979199997</v>
      </c>
      <c r="J13" s="9">
        <f>F13*Supuestos!$B$40*60*Supuestos!$B$48</f>
        <v>5.8197968639999997</v>
      </c>
      <c r="K13" s="9">
        <f>F13*Supuestos!$B$40*IF(Supuestos!$B$37=0,1,0)*('Precios Azure'!$C$6+MAX(0,Supuestos!$B$46*E13*Supuestos!$B$30/1000000-13)*'Precios Azure'!$C$7)</f>
        <v>0</v>
      </c>
      <c r="L13" s="9">
        <f>F13*Supuestos!$B$40*Supuestos!$B$37*730*'Precios Azure'!$C$8</f>
        <v>434.35173739999993</v>
      </c>
      <c r="M13" s="9">
        <f>F13*Supuestos!$B$40*Supuestos!$B$38*730*'Precios Azure'!$C$9</f>
        <v>449.05647546399996</v>
      </c>
      <c r="N13" s="9">
        <f>F13*Supuestos!$B$40*Supuestos!$B$46*E13*(Supuestos!$B$31/1000*'Precios Azure'!$C$10+Supuestos!$B$32/1000*'Precios Azure'!$C$11)</f>
        <v>185.13744091106287</v>
      </c>
      <c r="O13" s="9">
        <f>F13*Supuestos!$B$40*((Supuestos!$B$46*E13*Supuestos!$B$22*Supuestos!$B$28/1000*Supuestos!$B$29/30.4+Supuestos!$B$46*E13*Supuestos!$B$33/1000000*Supuestos!$B$34)*'Precios Azure'!$C$12+Supuestos!$B$46*E13*Supuestos!$B$35/10000*'Precios Azure'!$C$13)</f>
        <v>110.23234806357711</v>
      </c>
      <c r="P13" s="9">
        <f>F13*Supuestos!$B$40*30.4*'Precios Azure'!$C$5</f>
        <v>3.2490273356799997</v>
      </c>
      <c r="Q13" s="9">
        <f>F13*Supuestos!$B$40*MAX(0,Supuestos!$B$36-5)*'Precios Azure'!$C$14</f>
        <v>101.61550079999999</v>
      </c>
      <c r="R13" s="9">
        <f>F13*Supuestos!$B$39*Supuestos!$B$44</f>
        <v>850</v>
      </c>
      <c r="S13" s="9">
        <f t="shared" si="0"/>
        <v>2387.28867663032</v>
      </c>
      <c r="T13" s="9">
        <f>D13*Supuestos!$B$19*Supuestos!$B$8</f>
        <v>24000</v>
      </c>
      <c r="U13" s="9">
        <f t="shared" si="1"/>
        <v>21612.71132336968</v>
      </c>
      <c r="V13" s="9">
        <f>SUM($U$2:U13)</f>
        <v>49175.039352847743</v>
      </c>
    </row>
    <row r="14" spans="1:22" x14ac:dyDescent="0.25">
      <c r="A14">
        <v>13</v>
      </c>
      <c r="B14" s="9">
        <f>IF(A14=1,Supuestos!$B$11,IF(A14=2,Supuestos!$B$12,IF(A14=3,Supuestos!$B$13,0)))*Supuestos!$B$45</f>
        <v>0</v>
      </c>
      <c r="C14" s="6">
        <f>IF(A14&lt;Supuestos!$B$15,0,IF(A14&gt;=Supuestos!$B$16,1,0.1+0.9*(A14-Supuestos!$B$15)/(Supuestos!$B$16-Supuestos!$B$15)))</f>
        <v>1</v>
      </c>
      <c r="D14" s="9">
        <f>Supuestos!$B$17*Supuestos!$B$18*C14</f>
        <v>1500</v>
      </c>
      <c r="E14" s="6">
        <f>IF(F14=0,0,IF(D14=0,0.05*Supuestos!$B$18,D14/Supuestos!$B$17))</f>
        <v>0.75</v>
      </c>
      <c r="F14" s="9">
        <f>IF(A14&gt;=Supuestos!$B$14,1,0)</f>
        <v>1</v>
      </c>
      <c r="G14" s="9">
        <f>IF(Supuestos!$B$9*Supuestos!$B$20*E14&gt;0,MAX(Supuestos!$B$25,CEILING(Supuestos!$B$9*Supuestos!$B$20*E14/Supuestos!$B$23,1)+Supuestos!$B$24),Supuestos!$B$25)</f>
        <v>5</v>
      </c>
      <c r="H14" s="9">
        <f>IF(Supuestos!$B$9*Supuestos!$B$21*E14&gt;0,MAX(Supuestos!$B$25,CEILING(Supuestos!$B$9*Supuestos!$B$21*E14/Supuestos!$B$23,1)+Supuestos!$B$24),Supuestos!$B$25)</f>
        <v>2</v>
      </c>
      <c r="I14" s="9">
        <f>F14*Supuestos!$B$40*(G14+H14)*365*Supuestos!$B$48</f>
        <v>247.82634979199997</v>
      </c>
      <c r="J14" s="9">
        <f>F14*Supuestos!$B$40*60*Supuestos!$B$48</f>
        <v>5.8197968639999997</v>
      </c>
      <c r="K14" s="9">
        <f>F14*Supuestos!$B$40*IF(Supuestos!$B$37=0,1,0)*('Precios Azure'!$C$6+MAX(0,Supuestos!$B$46*E14*Supuestos!$B$30/1000000-13)*'Precios Azure'!$C$7)</f>
        <v>0</v>
      </c>
      <c r="L14" s="9">
        <f>F14*Supuestos!$B$40*Supuestos!$B$37*730*'Precios Azure'!$C$8</f>
        <v>434.35173739999993</v>
      </c>
      <c r="M14" s="9">
        <f>F14*Supuestos!$B$40*Supuestos!$B$38*730*'Precios Azure'!$C$9</f>
        <v>449.05647546399996</v>
      </c>
      <c r="N14" s="9">
        <f>F14*Supuestos!$B$40*Supuestos!$B$46*E14*(Supuestos!$B$31/1000*'Precios Azure'!$C$10+Supuestos!$B$32/1000*'Precios Azure'!$C$11)</f>
        <v>185.13744091106287</v>
      </c>
      <c r="O14" s="9">
        <f>F14*Supuestos!$B$40*((Supuestos!$B$46*E14*Supuestos!$B$22*Supuestos!$B$28/1000*Supuestos!$B$29/30.4+Supuestos!$B$46*E14*Supuestos!$B$33/1000000*Supuestos!$B$34)*'Precios Azure'!$C$12+Supuestos!$B$46*E14*Supuestos!$B$35/10000*'Precios Azure'!$C$13)</f>
        <v>110.23234806357711</v>
      </c>
      <c r="P14" s="9">
        <f>F14*Supuestos!$B$40*30.4*'Precios Azure'!$C$5</f>
        <v>3.2490273356799997</v>
      </c>
      <c r="Q14" s="9">
        <f>F14*Supuestos!$B$40*MAX(0,Supuestos!$B$36-5)*'Precios Azure'!$C$14</f>
        <v>101.61550079999999</v>
      </c>
      <c r="R14" s="9">
        <f>F14*Supuestos!$B$39*Supuestos!$B$44</f>
        <v>850</v>
      </c>
      <c r="S14" s="9">
        <f t="shared" si="0"/>
        <v>2387.28867663032</v>
      </c>
      <c r="T14" s="9">
        <f>D14*Supuestos!$B$19*Supuestos!$B$8</f>
        <v>24000</v>
      </c>
      <c r="U14" s="9">
        <f t="shared" si="1"/>
        <v>21612.71132336968</v>
      </c>
      <c r="V14" s="9">
        <f>SUM($U$2:U14)</f>
        <v>70787.750676217431</v>
      </c>
    </row>
    <row r="15" spans="1:22" x14ac:dyDescent="0.25">
      <c r="A15">
        <v>14</v>
      </c>
      <c r="B15" s="9">
        <f>IF(A15=1,Supuestos!$B$11,IF(A15=2,Supuestos!$B$12,IF(A15=3,Supuestos!$B$13,0)))*Supuestos!$B$45</f>
        <v>0</v>
      </c>
      <c r="C15" s="6">
        <f>IF(A15&lt;Supuestos!$B$15,0,IF(A15&gt;=Supuestos!$B$16,1,0.1+0.9*(A15-Supuestos!$B$15)/(Supuestos!$B$16-Supuestos!$B$15)))</f>
        <v>1</v>
      </c>
      <c r="D15" s="9">
        <f>Supuestos!$B$17*Supuestos!$B$18*C15</f>
        <v>1500</v>
      </c>
      <c r="E15" s="6">
        <f>IF(F15=0,0,IF(D15=0,0.05*Supuestos!$B$18,D15/Supuestos!$B$17))</f>
        <v>0.75</v>
      </c>
      <c r="F15" s="9">
        <f>IF(A15&gt;=Supuestos!$B$14,1,0)</f>
        <v>1</v>
      </c>
      <c r="G15" s="9">
        <f>IF(Supuestos!$B$9*Supuestos!$B$20*E15&gt;0,MAX(Supuestos!$B$25,CEILING(Supuestos!$B$9*Supuestos!$B$20*E15/Supuestos!$B$23,1)+Supuestos!$B$24),Supuestos!$B$25)</f>
        <v>5</v>
      </c>
      <c r="H15" s="9">
        <f>IF(Supuestos!$B$9*Supuestos!$B$21*E15&gt;0,MAX(Supuestos!$B$25,CEILING(Supuestos!$B$9*Supuestos!$B$21*E15/Supuestos!$B$23,1)+Supuestos!$B$24),Supuestos!$B$25)</f>
        <v>2</v>
      </c>
      <c r="I15" s="9">
        <f>F15*Supuestos!$B$40*(G15+H15)*365*Supuestos!$B$48</f>
        <v>247.82634979199997</v>
      </c>
      <c r="J15" s="9">
        <f>F15*Supuestos!$B$40*60*Supuestos!$B$48</f>
        <v>5.8197968639999997</v>
      </c>
      <c r="K15" s="9">
        <f>F15*Supuestos!$B$40*IF(Supuestos!$B$37=0,1,0)*('Precios Azure'!$C$6+MAX(0,Supuestos!$B$46*E15*Supuestos!$B$30/1000000-13)*'Precios Azure'!$C$7)</f>
        <v>0</v>
      </c>
      <c r="L15" s="9">
        <f>F15*Supuestos!$B$40*Supuestos!$B$37*730*'Precios Azure'!$C$8</f>
        <v>434.35173739999993</v>
      </c>
      <c r="M15" s="9">
        <f>F15*Supuestos!$B$40*Supuestos!$B$38*730*'Precios Azure'!$C$9</f>
        <v>449.05647546399996</v>
      </c>
      <c r="N15" s="9">
        <f>F15*Supuestos!$B$40*Supuestos!$B$46*E15*(Supuestos!$B$31/1000*'Precios Azure'!$C$10+Supuestos!$B$32/1000*'Precios Azure'!$C$11)</f>
        <v>185.13744091106287</v>
      </c>
      <c r="O15" s="9">
        <f>F15*Supuestos!$B$40*((Supuestos!$B$46*E15*Supuestos!$B$22*Supuestos!$B$28/1000*Supuestos!$B$29/30.4+Supuestos!$B$46*E15*Supuestos!$B$33/1000000*Supuestos!$B$34)*'Precios Azure'!$C$12+Supuestos!$B$46*E15*Supuestos!$B$35/10000*'Precios Azure'!$C$13)</f>
        <v>110.23234806357711</v>
      </c>
      <c r="P15" s="9">
        <f>F15*Supuestos!$B$40*30.4*'Precios Azure'!$C$5</f>
        <v>3.2490273356799997</v>
      </c>
      <c r="Q15" s="9">
        <f>F15*Supuestos!$B$40*MAX(0,Supuestos!$B$36-5)*'Precios Azure'!$C$14</f>
        <v>101.61550079999999</v>
      </c>
      <c r="R15" s="9">
        <f>F15*Supuestos!$B$39*Supuestos!$B$44</f>
        <v>850</v>
      </c>
      <c r="S15" s="9">
        <f t="shared" si="0"/>
        <v>2387.28867663032</v>
      </c>
      <c r="T15" s="9">
        <f>D15*Supuestos!$B$19*Supuestos!$B$8</f>
        <v>24000</v>
      </c>
      <c r="U15" s="9">
        <f t="shared" si="1"/>
        <v>21612.71132336968</v>
      </c>
      <c r="V15" s="9">
        <f>SUM($U$2:U15)</f>
        <v>92400.461999587103</v>
      </c>
    </row>
    <row r="16" spans="1:22" x14ac:dyDescent="0.25">
      <c r="A16">
        <v>15</v>
      </c>
      <c r="B16" s="9">
        <f>IF(A16=1,Supuestos!$B$11,IF(A16=2,Supuestos!$B$12,IF(A16=3,Supuestos!$B$13,0)))*Supuestos!$B$45</f>
        <v>0</v>
      </c>
      <c r="C16" s="6">
        <f>IF(A16&lt;Supuestos!$B$15,0,IF(A16&gt;=Supuestos!$B$16,1,0.1+0.9*(A16-Supuestos!$B$15)/(Supuestos!$B$16-Supuestos!$B$15)))</f>
        <v>1</v>
      </c>
      <c r="D16" s="9">
        <f>Supuestos!$B$17*Supuestos!$B$18*C16</f>
        <v>1500</v>
      </c>
      <c r="E16" s="6">
        <f>IF(F16=0,0,IF(D16=0,0.05*Supuestos!$B$18,D16/Supuestos!$B$17))</f>
        <v>0.75</v>
      </c>
      <c r="F16" s="9">
        <f>IF(A16&gt;=Supuestos!$B$14,1,0)</f>
        <v>1</v>
      </c>
      <c r="G16" s="9">
        <f>IF(Supuestos!$B$9*Supuestos!$B$20*E16&gt;0,MAX(Supuestos!$B$25,CEILING(Supuestos!$B$9*Supuestos!$B$20*E16/Supuestos!$B$23,1)+Supuestos!$B$24),Supuestos!$B$25)</f>
        <v>5</v>
      </c>
      <c r="H16" s="9">
        <f>IF(Supuestos!$B$9*Supuestos!$B$21*E16&gt;0,MAX(Supuestos!$B$25,CEILING(Supuestos!$B$9*Supuestos!$B$21*E16/Supuestos!$B$23,1)+Supuestos!$B$24),Supuestos!$B$25)</f>
        <v>2</v>
      </c>
      <c r="I16" s="9">
        <f>F16*Supuestos!$B$40*(G16+H16)*365*Supuestos!$B$48</f>
        <v>247.82634979199997</v>
      </c>
      <c r="J16" s="9">
        <f>F16*Supuestos!$B$40*60*Supuestos!$B$48</f>
        <v>5.8197968639999997</v>
      </c>
      <c r="K16" s="9">
        <f>F16*Supuestos!$B$40*IF(Supuestos!$B$37=0,1,0)*('Precios Azure'!$C$6+MAX(0,Supuestos!$B$46*E16*Supuestos!$B$30/1000000-13)*'Precios Azure'!$C$7)</f>
        <v>0</v>
      </c>
      <c r="L16" s="9">
        <f>F16*Supuestos!$B$40*Supuestos!$B$37*730*'Precios Azure'!$C$8</f>
        <v>434.35173739999993</v>
      </c>
      <c r="M16" s="9">
        <f>F16*Supuestos!$B$40*Supuestos!$B$38*730*'Precios Azure'!$C$9</f>
        <v>449.05647546399996</v>
      </c>
      <c r="N16" s="9">
        <f>F16*Supuestos!$B$40*Supuestos!$B$46*E16*(Supuestos!$B$31/1000*'Precios Azure'!$C$10+Supuestos!$B$32/1000*'Precios Azure'!$C$11)</f>
        <v>185.13744091106287</v>
      </c>
      <c r="O16" s="9">
        <f>F16*Supuestos!$B$40*((Supuestos!$B$46*E16*Supuestos!$B$22*Supuestos!$B$28/1000*Supuestos!$B$29/30.4+Supuestos!$B$46*E16*Supuestos!$B$33/1000000*Supuestos!$B$34)*'Precios Azure'!$C$12+Supuestos!$B$46*E16*Supuestos!$B$35/10000*'Precios Azure'!$C$13)</f>
        <v>110.23234806357711</v>
      </c>
      <c r="P16" s="9">
        <f>F16*Supuestos!$B$40*30.4*'Precios Azure'!$C$5</f>
        <v>3.2490273356799997</v>
      </c>
      <c r="Q16" s="9">
        <f>F16*Supuestos!$B$40*MAX(0,Supuestos!$B$36-5)*'Precios Azure'!$C$14</f>
        <v>101.61550079999999</v>
      </c>
      <c r="R16" s="9">
        <f>F16*Supuestos!$B$39*Supuestos!$B$44</f>
        <v>850</v>
      </c>
      <c r="S16" s="9">
        <f t="shared" si="0"/>
        <v>2387.28867663032</v>
      </c>
      <c r="T16" s="9">
        <f>D16*Supuestos!$B$19*Supuestos!$B$8</f>
        <v>24000</v>
      </c>
      <c r="U16" s="9">
        <f t="shared" si="1"/>
        <v>21612.71132336968</v>
      </c>
      <c r="V16" s="9">
        <f>SUM($U$2:U16)</f>
        <v>114013.17332295678</v>
      </c>
    </row>
    <row r="17" spans="1:22" x14ac:dyDescent="0.25">
      <c r="A17">
        <v>16</v>
      </c>
      <c r="B17" s="9">
        <f>IF(A17=1,Supuestos!$B$11,IF(A17=2,Supuestos!$B$12,IF(A17=3,Supuestos!$B$13,0)))*Supuestos!$B$45</f>
        <v>0</v>
      </c>
      <c r="C17" s="6">
        <f>IF(A17&lt;Supuestos!$B$15,0,IF(A17&gt;=Supuestos!$B$16,1,0.1+0.9*(A17-Supuestos!$B$15)/(Supuestos!$B$16-Supuestos!$B$15)))</f>
        <v>1</v>
      </c>
      <c r="D17" s="9">
        <f>Supuestos!$B$17*Supuestos!$B$18*C17</f>
        <v>1500</v>
      </c>
      <c r="E17" s="6">
        <f>IF(F17=0,0,IF(D17=0,0.05*Supuestos!$B$18,D17/Supuestos!$B$17))</f>
        <v>0.75</v>
      </c>
      <c r="F17" s="9">
        <f>IF(A17&gt;=Supuestos!$B$14,1,0)</f>
        <v>1</v>
      </c>
      <c r="G17" s="9">
        <f>IF(Supuestos!$B$9*Supuestos!$B$20*E17&gt;0,MAX(Supuestos!$B$25,CEILING(Supuestos!$B$9*Supuestos!$B$20*E17/Supuestos!$B$23,1)+Supuestos!$B$24),Supuestos!$B$25)</f>
        <v>5</v>
      </c>
      <c r="H17" s="9">
        <f>IF(Supuestos!$B$9*Supuestos!$B$21*E17&gt;0,MAX(Supuestos!$B$25,CEILING(Supuestos!$B$9*Supuestos!$B$21*E17/Supuestos!$B$23,1)+Supuestos!$B$24),Supuestos!$B$25)</f>
        <v>2</v>
      </c>
      <c r="I17" s="9">
        <f>F17*Supuestos!$B$40*(G17+H17)*365*Supuestos!$B$48</f>
        <v>247.82634979199997</v>
      </c>
      <c r="J17" s="9">
        <f>F17*Supuestos!$B$40*60*Supuestos!$B$48</f>
        <v>5.8197968639999997</v>
      </c>
      <c r="K17" s="9">
        <f>F17*Supuestos!$B$40*IF(Supuestos!$B$37=0,1,0)*('Precios Azure'!$C$6+MAX(0,Supuestos!$B$46*E17*Supuestos!$B$30/1000000-13)*'Precios Azure'!$C$7)</f>
        <v>0</v>
      </c>
      <c r="L17" s="9">
        <f>F17*Supuestos!$B$40*Supuestos!$B$37*730*'Precios Azure'!$C$8</f>
        <v>434.35173739999993</v>
      </c>
      <c r="M17" s="9">
        <f>F17*Supuestos!$B$40*Supuestos!$B$38*730*'Precios Azure'!$C$9</f>
        <v>449.05647546399996</v>
      </c>
      <c r="N17" s="9">
        <f>F17*Supuestos!$B$40*Supuestos!$B$46*E17*(Supuestos!$B$31/1000*'Precios Azure'!$C$10+Supuestos!$B$32/1000*'Precios Azure'!$C$11)</f>
        <v>185.13744091106287</v>
      </c>
      <c r="O17" s="9">
        <f>F17*Supuestos!$B$40*((Supuestos!$B$46*E17*Supuestos!$B$22*Supuestos!$B$28/1000*Supuestos!$B$29/30.4+Supuestos!$B$46*E17*Supuestos!$B$33/1000000*Supuestos!$B$34)*'Precios Azure'!$C$12+Supuestos!$B$46*E17*Supuestos!$B$35/10000*'Precios Azure'!$C$13)</f>
        <v>110.23234806357711</v>
      </c>
      <c r="P17" s="9">
        <f>F17*Supuestos!$B$40*30.4*'Precios Azure'!$C$5</f>
        <v>3.2490273356799997</v>
      </c>
      <c r="Q17" s="9">
        <f>F17*Supuestos!$B$40*MAX(0,Supuestos!$B$36-5)*'Precios Azure'!$C$14</f>
        <v>101.61550079999999</v>
      </c>
      <c r="R17" s="9">
        <f>F17*Supuestos!$B$39*Supuestos!$B$44</f>
        <v>850</v>
      </c>
      <c r="S17" s="9">
        <f t="shared" si="0"/>
        <v>2387.28867663032</v>
      </c>
      <c r="T17" s="9">
        <f>D17*Supuestos!$B$19*Supuestos!$B$8</f>
        <v>24000</v>
      </c>
      <c r="U17" s="9">
        <f t="shared" si="1"/>
        <v>21612.71132336968</v>
      </c>
      <c r="V17" s="9">
        <f>SUM($U$2:U17)</f>
        <v>135625.88464632645</v>
      </c>
    </row>
    <row r="18" spans="1:22" x14ac:dyDescent="0.25">
      <c r="A18">
        <v>17</v>
      </c>
      <c r="B18" s="9">
        <f>IF(A18=1,Supuestos!$B$11,IF(A18=2,Supuestos!$B$12,IF(A18=3,Supuestos!$B$13,0)))*Supuestos!$B$45</f>
        <v>0</v>
      </c>
      <c r="C18" s="6">
        <f>IF(A18&lt;Supuestos!$B$15,0,IF(A18&gt;=Supuestos!$B$16,1,0.1+0.9*(A18-Supuestos!$B$15)/(Supuestos!$B$16-Supuestos!$B$15)))</f>
        <v>1</v>
      </c>
      <c r="D18" s="9">
        <f>Supuestos!$B$17*Supuestos!$B$18*C18</f>
        <v>1500</v>
      </c>
      <c r="E18" s="6">
        <f>IF(F18=0,0,IF(D18=0,0.05*Supuestos!$B$18,D18/Supuestos!$B$17))</f>
        <v>0.75</v>
      </c>
      <c r="F18" s="9">
        <f>IF(A18&gt;=Supuestos!$B$14,1,0)</f>
        <v>1</v>
      </c>
      <c r="G18" s="9">
        <f>IF(Supuestos!$B$9*Supuestos!$B$20*E18&gt;0,MAX(Supuestos!$B$25,CEILING(Supuestos!$B$9*Supuestos!$B$20*E18/Supuestos!$B$23,1)+Supuestos!$B$24),Supuestos!$B$25)</f>
        <v>5</v>
      </c>
      <c r="H18" s="9">
        <f>IF(Supuestos!$B$9*Supuestos!$B$21*E18&gt;0,MAX(Supuestos!$B$25,CEILING(Supuestos!$B$9*Supuestos!$B$21*E18/Supuestos!$B$23,1)+Supuestos!$B$24),Supuestos!$B$25)</f>
        <v>2</v>
      </c>
      <c r="I18" s="9">
        <f>F18*Supuestos!$B$40*(G18+H18)*365*Supuestos!$B$48</f>
        <v>247.82634979199997</v>
      </c>
      <c r="J18" s="9">
        <f>F18*Supuestos!$B$40*60*Supuestos!$B$48</f>
        <v>5.8197968639999997</v>
      </c>
      <c r="K18" s="9">
        <f>F18*Supuestos!$B$40*IF(Supuestos!$B$37=0,1,0)*('Precios Azure'!$C$6+MAX(0,Supuestos!$B$46*E18*Supuestos!$B$30/1000000-13)*'Precios Azure'!$C$7)</f>
        <v>0</v>
      </c>
      <c r="L18" s="9">
        <f>F18*Supuestos!$B$40*Supuestos!$B$37*730*'Precios Azure'!$C$8</f>
        <v>434.35173739999993</v>
      </c>
      <c r="M18" s="9">
        <f>F18*Supuestos!$B$40*Supuestos!$B$38*730*'Precios Azure'!$C$9</f>
        <v>449.05647546399996</v>
      </c>
      <c r="N18" s="9">
        <f>F18*Supuestos!$B$40*Supuestos!$B$46*E18*(Supuestos!$B$31/1000*'Precios Azure'!$C$10+Supuestos!$B$32/1000*'Precios Azure'!$C$11)</f>
        <v>185.13744091106287</v>
      </c>
      <c r="O18" s="9">
        <f>F18*Supuestos!$B$40*((Supuestos!$B$46*E18*Supuestos!$B$22*Supuestos!$B$28/1000*Supuestos!$B$29/30.4+Supuestos!$B$46*E18*Supuestos!$B$33/1000000*Supuestos!$B$34)*'Precios Azure'!$C$12+Supuestos!$B$46*E18*Supuestos!$B$35/10000*'Precios Azure'!$C$13)</f>
        <v>110.23234806357711</v>
      </c>
      <c r="P18" s="9">
        <f>F18*Supuestos!$B$40*30.4*'Precios Azure'!$C$5</f>
        <v>3.2490273356799997</v>
      </c>
      <c r="Q18" s="9">
        <f>F18*Supuestos!$B$40*MAX(0,Supuestos!$B$36-5)*'Precios Azure'!$C$14</f>
        <v>101.61550079999999</v>
      </c>
      <c r="R18" s="9">
        <f>F18*Supuestos!$B$39*Supuestos!$B$44</f>
        <v>850</v>
      </c>
      <c r="S18" s="9">
        <f t="shared" si="0"/>
        <v>2387.28867663032</v>
      </c>
      <c r="T18" s="9">
        <f>D18*Supuestos!$B$19*Supuestos!$B$8</f>
        <v>24000</v>
      </c>
      <c r="U18" s="9">
        <f t="shared" si="1"/>
        <v>21612.71132336968</v>
      </c>
      <c r="V18" s="9">
        <f>SUM($U$2:U18)</f>
        <v>157238.59596969612</v>
      </c>
    </row>
    <row r="19" spans="1:22" x14ac:dyDescent="0.25">
      <c r="A19">
        <v>18</v>
      </c>
      <c r="B19" s="9">
        <f>IF(A19=1,Supuestos!$B$11,IF(A19=2,Supuestos!$B$12,IF(A19=3,Supuestos!$B$13,0)))*Supuestos!$B$45</f>
        <v>0</v>
      </c>
      <c r="C19" s="6">
        <f>IF(A19&lt;Supuestos!$B$15,0,IF(A19&gt;=Supuestos!$B$16,1,0.1+0.9*(A19-Supuestos!$B$15)/(Supuestos!$B$16-Supuestos!$B$15)))</f>
        <v>1</v>
      </c>
      <c r="D19" s="9">
        <f>Supuestos!$B$17*Supuestos!$B$18*C19</f>
        <v>1500</v>
      </c>
      <c r="E19" s="6">
        <f>IF(F19=0,0,IF(D19=0,0.05*Supuestos!$B$18,D19/Supuestos!$B$17))</f>
        <v>0.75</v>
      </c>
      <c r="F19" s="9">
        <f>IF(A19&gt;=Supuestos!$B$14,1,0)</f>
        <v>1</v>
      </c>
      <c r="G19" s="9">
        <f>IF(Supuestos!$B$9*Supuestos!$B$20*E19&gt;0,MAX(Supuestos!$B$25,CEILING(Supuestos!$B$9*Supuestos!$B$20*E19/Supuestos!$B$23,1)+Supuestos!$B$24),Supuestos!$B$25)</f>
        <v>5</v>
      </c>
      <c r="H19" s="9">
        <f>IF(Supuestos!$B$9*Supuestos!$B$21*E19&gt;0,MAX(Supuestos!$B$25,CEILING(Supuestos!$B$9*Supuestos!$B$21*E19/Supuestos!$B$23,1)+Supuestos!$B$24),Supuestos!$B$25)</f>
        <v>2</v>
      </c>
      <c r="I19" s="9">
        <f>F19*Supuestos!$B$40*(G19+H19)*365*Supuestos!$B$48</f>
        <v>247.82634979199997</v>
      </c>
      <c r="J19" s="9">
        <f>F19*Supuestos!$B$40*60*Supuestos!$B$48</f>
        <v>5.8197968639999997</v>
      </c>
      <c r="K19" s="9">
        <f>F19*Supuestos!$B$40*IF(Supuestos!$B$37=0,1,0)*('Precios Azure'!$C$6+MAX(0,Supuestos!$B$46*E19*Supuestos!$B$30/1000000-13)*'Precios Azure'!$C$7)</f>
        <v>0</v>
      </c>
      <c r="L19" s="9">
        <f>F19*Supuestos!$B$40*Supuestos!$B$37*730*'Precios Azure'!$C$8</f>
        <v>434.35173739999993</v>
      </c>
      <c r="M19" s="9">
        <f>F19*Supuestos!$B$40*Supuestos!$B$38*730*'Precios Azure'!$C$9</f>
        <v>449.05647546399996</v>
      </c>
      <c r="N19" s="9">
        <f>F19*Supuestos!$B$40*Supuestos!$B$46*E19*(Supuestos!$B$31/1000*'Precios Azure'!$C$10+Supuestos!$B$32/1000*'Precios Azure'!$C$11)</f>
        <v>185.13744091106287</v>
      </c>
      <c r="O19" s="9">
        <f>F19*Supuestos!$B$40*((Supuestos!$B$46*E19*Supuestos!$B$22*Supuestos!$B$28/1000*Supuestos!$B$29/30.4+Supuestos!$B$46*E19*Supuestos!$B$33/1000000*Supuestos!$B$34)*'Precios Azure'!$C$12+Supuestos!$B$46*E19*Supuestos!$B$35/10000*'Precios Azure'!$C$13)</f>
        <v>110.23234806357711</v>
      </c>
      <c r="P19" s="9">
        <f>F19*Supuestos!$B$40*30.4*'Precios Azure'!$C$5</f>
        <v>3.2490273356799997</v>
      </c>
      <c r="Q19" s="9">
        <f>F19*Supuestos!$B$40*MAX(0,Supuestos!$B$36-5)*'Precios Azure'!$C$14</f>
        <v>101.61550079999999</v>
      </c>
      <c r="R19" s="9">
        <f>F19*Supuestos!$B$39*Supuestos!$B$44</f>
        <v>850</v>
      </c>
      <c r="S19" s="9">
        <f t="shared" si="0"/>
        <v>2387.28867663032</v>
      </c>
      <c r="T19" s="9">
        <f>D19*Supuestos!$B$19*Supuestos!$B$8</f>
        <v>24000</v>
      </c>
      <c r="U19" s="9">
        <f t="shared" si="1"/>
        <v>21612.71132336968</v>
      </c>
      <c r="V19" s="9">
        <f>SUM($U$2:U19)</f>
        <v>178851.30729306579</v>
      </c>
    </row>
    <row r="20" spans="1:22" x14ac:dyDescent="0.25">
      <c r="A20">
        <v>19</v>
      </c>
      <c r="B20" s="9">
        <f>IF(A20=1,Supuestos!$B$11,IF(A20=2,Supuestos!$B$12,IF(A20=3,Supuestos!$B$13,0)))*Supuestos!$B$45</f>
        <v>0</v>
      </c>
      <c r="C20" s="6">
        <f>IF(A20&lt;Supuestos!$B$15,0,IF(A20&gt;=Supuestos!$B$16,1,0.1+0.9*(A20-Supuestos!$B$15)/(Supuestos!$B$16-Supuestos!$B$15)))</f>
        <v>1</v>
      </c>
      <c r="D20" s="9">
        <f>Supuestos!$B$17*Supuestos!$B$18*C20</f>
        <v>1500</v>
      </c>
      <c r="E20" s="6">
        <f>IF(F20=0,0,IF(D20=0,0.05*Supuestos!$B$18,D20/Supuestos!$B$17))</f>
        <v>0.75</v>
      </c>
      <c r="F20" s="9">
        <f>IF(A20&gt;=Supuestos!$B$14,1,0)</f>
        <v>1</v>
      </c>
      <c r="G20" s="9">
        <f>IF(Supuestos!$B$9*Supuestos!$B$20*E20&gt;0,MAX(Supuestos!$B$25,CEILING(Supuestos!$B$9*Supuestos!$B$20*E20/Supuestos!$B$23,1)+Supuestos!$B$24),Supuestos!$B$25)</f>
        <v>5</v>
      </c>
      <c r="H20" s="9">
        <f>IF(Supuestos!$B$9*Supuestos!$B$21*E20&gt;0,MAX(Supuestos!$B$25,CEILING(Supuestos!$B$9*Supuestos!$B$21*E20/Supuestos!$B$23,1)+Supuestos!$B$24),Supuestos!$B$25)</f>
        <v>2</v>
      </c>
      <c r="I20" s="9">
        <f>F20*Supuestos!$B$40*(G20+H20)*365*Supuestos!$B$48</f>
        <v>247.82634979199997</v>
      </c>
      <c r="J20" s="9">
        <f>F20*Supuestos!$B$40*60*Supuestos!$B$48</f>
        <v>5.8197968639999997</v>
      </c>
      <c r="K20" s="9">
        <f>F20*Supuestos!$B$40*IF(Supuestos!$B$37=0,1,0)*('Precios Azure'!$C$6+MAX(0,Supuestos!$B$46*E20*Supuestos!$B$30/1000000-13)*'Precios Azure'!$C$7)</f>
        <v>0</v>
      </c>
      <c r="L20" s="9">
        <f>F20*Supuestos!$B$40*Supuestos!$B$37*730*'Precios Azure'!$C$8</f>
        <v>434.35173739999993</v>
      </c>
      <c r="M20" s="9">
        <f>F20*Supuestos!$B$40*Supuestos!$B$38*730*'Precios Azure'!$C$9</f>
        <v>449.05647546399996</v>
      </c>
      <c r="N20" s="9">
        <f>F20*Supuestos!$B$40*Supuestos!$B$46*E20*(Supuestos!$B$31/1000*'Precios Azure'!$C$10+Supuestos!$B$32/1000*'Precios Azure'!$C$11)</f>
        <v>185.13744091106287</v>
      </c>
      <c r="O20" s="9">
        <f>F20*Supuestos!$B$40*((Supuestos!$B$46*E20*Supuestos!$B$22*Supuestos!$B$28/1000*Supuestos!$B$29/30.4+Supuestos!$B$46*E20*Supuestos!$B$33/1000000*Supuestos!$B$34)*'Precios Azure'!$C$12+Supuestos!$B$46*E20*Supuestos!$B$35/10000*'Precios Azure'!$C$13)</f>
        <v>110.23234806357711</v>
      </c>
      <c r="P20" s="9">
        <f>F20*Supuestos!$B$40*30.4*'Precios Azure'!$C$5</f>
        <v>3.2490273356799997</v>
      </c>
      <c r="Q20" s="9">
        <f>F20*Supuestos!$B$40*MAX(0,Supuestos!$B$36-5)*'Precios Azure'!$C$14</f>
        <v>101.61550079999999</v>
      </c>
      <c r="R20" s="9">
        <f>F20*Supuestos!$B$39*Supuestos!$B$44</f>
        <v>850</v>
      </c>
      <c r="S20" s="9">
        <f t="shared" si="0"/>
        <v>2387.28867663032</v>
      </c>
      <c r="T20" s="9">
        <f>D20*Supuestos!$B$19*Supuestos!$B$8</f>
        <v>24000</v>
      </c>
      <c r="U20" s="9">
        <f t="shared" si="1"/>
        <v>21612.71132336968</v>
      </c>
      <c r="V20" s="9">
        <f>SUM($U$2:U20)</f>
        <v>200464.01861643547</v>
      </c>
    </row>
    <row r="21" spans="1:22" x14ac:dyDescent="0.25">
      <c r="A21">
        <v>20</v>
      </c>
      <c r="B21" s="9">
        <f>IF(A21=1,Supuestos!$B$11,IF(A21=2,Supuestos!$B$12,IF(A21=3,Supuestos!$B$13,0)))*Supuestos!$B$45</f>
        <v>0</v>
      </c>
      <c r="C21" s="6">
        <f>IF(A21&lt;Supuestos!$B$15,0,IF(A21&gt;=Supuestos!$B$16,1,0.1+0.9*(A21-Supuestos!$B$15)/(Supuestos!$B$16-Supuestos!$B$15)))</f>
        <v>1</v>
      </c>
      <c r="D21" s="9">
        <f>Supuestos!$B$17*Supuestos!$B$18*C21</f>
        <v>1500</v>
      </c>
      <c r="E21" s="6">
        <f>IF(F21=0,0,IF(D21=0,0.05*Supuestos!$B$18,D21/Supuestos!$B$17))</f>
        <v>0.75</v>
      </c>
      <c r="F21" s="9">
        <f>IF(A21&gt;=Supuestos!$B$14,1,0)</f>
        <v>1</v>
      </c>
      <c r="G21" s="9">
        <f>IF(Supuestos!$B$9*Supuestos!$B$20*E21&gt;0,MAX(Supuestos!$B$25,CEILING(Supuestos!$B$9*Supuestos!$B$20*E21/Supuestos!$B$23,1)+Supuestos!$B$24),Supuestos!$B$25)</f>
        <v>5</v>
      </c>
      <c r="H21" s="9">
        <f>IF(Supuestos!$B$9*Supuestos!$B$21*E21&gt;0,MAX(Supuestos!$B$25,CEILING(Supuestos!$B$9*Supuestos!$B$21*E21/Supuestos!$B$23,1)+Supuestos!$B$24),Supuestos!$B$25)</f>
        <v>2</v>
      </c>
      <c r="I21" s="9">
        <f>F21*Supuestos!$B$40*(G21+H21)*365*Supuestos!$B$48</f>
        <v>247.82634979199997</v>
      </c>
      <c r="J21" s="9">
        <f>F21*Supuestos!$B$40*60*Supuestos!$B$48</f>
        <v>5.8197968639999997</v>
      </c>
      <c r="K21" s="9">
        <f>F21*Supuestos!$B$40*IF(Supuestos!$B$37=0,1,0)*('Precios Azure'!$C$6+MAX(0,Supuestos!$B$46*E21*Supuestos!$B$30/1000000-13)*'Precios Azure'!$C$7)</f>
        <v>0</v>
      </c>
      <c r="L21" s="9">
        <f>F21*Supuestos!$B$40*Supuestos!$B$37*730*'Precios Azure'!$C$8</f>
        <v>434.35173739999993</v>
      </c>
      <c r="M21" s="9">
        <f>F21*Supuestos!$B$40*Supuestos!$B$38*730*'Precios Azure'!$C$9</f>
        <v>449.05647546399996</v>
      </c>
      <c r="N21" s="9">
        <f>F21*Supuestos!$B$40*Supuestos!$B$46*E21*(Supuestos!$B$31/1000*'Precios Azure'!$C$10+Supuestos!$B$32/1000*'Precios Azure'!$C$11)</f>
        <v>185.13744091106287</v>
      </c>
      <c r="O21" s="9">
        <f>F21*Supuestos!$B$40*((Supuestos!$B$46*E21*Supuestos!$B$22*Supuestos!$B$28/1000*Supuestos!$B$29/30.4+Supuestos!$B$46*E21*Supuestos!$B$33/1000000*Supuestos!$B$34)*'Precios Azure'!$C$12+Supuestos!$B$46*E21*Supuestos!$B$35/10000*'Precios Azure'!$C$13)</f>
        <v>110.23234806357711</v>
      </c>
      <c r="P21" s="9">
        <f>F21*Supuestos!$B$40*30.4*'Precios Azure'!$C$5</f>
        <v>3.2490273356799997</v>
      </c>
      <c r="Q21" s="9">
        <f>F21*Supuestos!$B$40*MAX(0,Supuestos!$B$36-5)*'Precios Azure'!$C$14</f>
        <v>101.61550079999999</v>
      </c>
      <c r="R21" s="9">
        <f>F21*Supuestos!$B$39*Supuestos!$B$44</f>
        <v>850</v>
      </c>
      <c r="S21" s="9">
        <f t="shared" si="0"/>
        <v>2387.28867663032</v>
      </c>
      <c r="T21" s="9">
        <f>D21*Supuestos!$B$19*Supuestos!$B$8</f>
        <v>24000</v>
      </c>
      <c r="U21" s="9">
        <f t="shared" si="1"/>
        <v>21612.71132336968</v>
      </c>
      <c r="V21" s="9">
        <f>SUM($U$2:U21)</f>
        <v>222076.72993980514</v>
      </c>
    </row>
    <row r="22" spans="1:22" x14ac:dyDescent="0.25">
      <c r="A22">
        <v>21</v>
      </c>
      <c r="B22" s="9">
        <f>IF(A22=1,Supuestos!$B$11,IF(A22=2,Supuestos!$B$12,IF(A22=3,Supuestos!$B$13,0)))*Supuestos!$B$45</f>
        <v>0</v>
      </c>
      <c r="C22" s="6">
        <f>IF(A22&lt;Supuestos!$B$15,0,IF(A22&gt;=Supuestos!$B$16,1,0.1+0.9*(A22-Supuestos!$B$15)/(Supuestos!$B$16-Supuestos!$B$15)))</f>
        <v>1</v>
      </c>
      <c r="D22" s="9">
        <f>Supuestos!$B$17*Supuestos!$B$18*C22</f>
        <v>1500</v>
      </c>
      <c r="E22" s="6">
        <f>IF(F22=0,0,IF(D22=0,0.05*Supuestos!$B$18,D22/Supuestos!$B$17))</f>
        <v>0.75</v>
      </c>
      <c r="F22" s="9">
        <f>IF(A22&gt;=Supuestos!$B$14,1,0)</f>
        <v>1</v>
      </c>
      <c r="G22" s="9">
        <f>IF(Supuestos!$B$9*Supuestos!$B$20*E22&gt;0,MAX(Supuestos!$B$25,CEILING(Supuestos!$B$9*Supuestos!$B$20*E22/Supuestos!$B$23,1)+Supuestos!$B$24),Supuestos!$B$25)</f>
        <v>5</v>
      </c>
      <c r="H22" s="9">
        <f>IF(Supuestos!$B$9*Supuestos!$B$21*E22&gt;0,MAX(Supuestos!$B$25,CEILING(Supuestos!$B$9*Supuestos!$B$21*E22/Supuestos!$B$23,1)+Supuestos!$B$24),Supuestos!$B$25)</f>
        <v>2</v>
      </c>
      <c r="I22" s="9">
        <f>F22*Supuestos!$B$40*(G22+H22)*365*Supuestos!$B$48</f>
        <v>247.82634979199997</v>
      </c>
      <c r="J22" s="9">
        <f>F22*Supuestos!$B$40*60*Supuestos!$B$48</f>
        <v>5.8197968639999997</v>
      </c>
      <c r="K22" s="9">
        <f>F22*Supuestos!$B$40*IF(Supuestos!$B$37=0,1,0)*('Precios Azure'!$C$6+MAX(0,Supuestos!$B$46*E22*Supuestos!$B$30/1000000-13)*'Precios Azure'!$C$7)</f>
        <v>0</v>
      </c>
      <c r="L22" s="9">
        <f>F22*Supuestos!$B$40*Supuestos!$B$37*730*'Precios Azure'!$C$8</f>
        <v>434.35173739999993</v>
      </c>
      <c r="M22" s="9">
        <f>F22*Supuestos!$B$40*Supuestos!$B$38*730*'Precios Azure'!$C$9</f>
        <v>449.05647546399996</v>
      </c>
      <c r="N22" s="9">
        <f>F22*Supuestos!$B$40*Supuestos!$B$46*E22*(Supuestos!$B$31/1000*'Precios Azure'!$C$10+Supuestos!$B$32/1000*'Precios Azure'!$C$11)</f>
        <v>185.13744091106287</v>
      </c>
      <c r="O22" s="9">
        <f>F22*Supuestos!$B$40*((Supuestos!$B$46*E22*Supuestos!$B$22*Supuestos!$B$28/1000*Supuestos!$B$29/30.4+Supuestos!$B$46*E22*Supuestos!$B$33/1000000*Supuestos!$B$34)*'Precios Azure'!$C$12+Supuestos!$B$46*E22*Supuestos!$B$35/10000*'Precios Azure'!$C$13)</f>
        <v>110.23234806357711</v>
      </c>
      <c r="P22" s="9">
        <f>F22*Supuestos!$B$40*30.4*'Precios Azure'!$C$5</f>
        <v>3.2490273356799997</v>
      </c>
      <c r="Q22" s="9">
        <f>F22*Supuestos!$B$40*MAX(0,Supuestos!$B$36-5)*'Precios Azure'!$C$14</f>
        <v>101.61550079999999</v>
      </c>
      <c r="R22" s="9">
        <f>F22*Supuestos!$B$39*Supuestos!$B$44</f>
        <v>850</v>
      </c>
      <c r="S22" s="9">
        <f t="shared" si="0"/>
        <v>2387.28867663032</v>
      </c>
      <c r="T22" s="9">
        <f>D22*Supuestos!$B$19*Supuestos!$B$8</f>
        <v>24000</v>
      </c>
      <c r="U22" s="9">
        <f t="shared" si="1"/>
        <v>21612.71132336968</v>
      </c>
      <c r="V22" s="9">
        <f>SUM($U$2:U22)</f>
        <v>243689.44126317481</v>
      </c>
    </row>
    <row r="23" spans="1:22" x14ac:dyDescent="0.25">
      <c r="A23">
        <v>22</v>
      </c>
      <c r="B23" s="9">
        <f>IF(A23=1,Supuestos!$B$11,IF(A23=2,Supuestos!$B$12,IF(A23=3,Supuestos!$B$13,0)))*Supuestos!$B$45</f>
        <v>0</v>
      </c>
      <c r="C23" s="6">
        <f>IF(A23&lt;Supuestos!$B$15,0,IF(A23&gt;=Supuestos!$B$16,1,0.1+0.9*(A23-Supuestos!$B$15)/(Supuestos!$B$16-Supuestos!$B$15)))</f>
        <v>1</v>
      </c>
      <c r="D23" s="9">
        <f>Supuestos!$B$17*Supuestos!$B$18*C23</f>
        <v>1500</v>
      </c>
      <c r="E23" s="6">
        <f>IF(F23=0,0,IF(D23=0,0.05*Supuestos!$B$18,D23/Supuestos!$B$17))</f>
        <v>0.75</v>
      </c>
      <c r="F23" s="9">
        <f>IF(A23&gt;=Supuestos!$B$14,1,0)</f>
        <v>1</v>
      </c>
      <c r="G23" s="9">
        <f>IF(Supuestos!$B$9*Supuestos!$B$20*E23&gt;0,MAX(Supuestos!$B$25,CEILING(Supuestos!$B$9*Supuestos!$B$20*E23/Supuestos!$B$23,1)+Supuestos!$B$24),Supuestos!$B$25)</f>
        <v>5</v>
      </c>
      <c r="H23" s="9">
        <f>IF(Supuestos!$B$9*Supuestos!$B$21*E23&gt;0,MAX(Supuestos!$B$25,CEILING(Supuestos!$B$9*Supuestos!$B$21*E23/Supuestos!$B$23,1)+Supuestos!$B$24),Supuestos!$B$25)</f>
        <v>2</v>
      </c>
      <c r="I23" s="9">
        <f>F23*Supuestos!$B$40*(G23+H23)*365*Supuestos!$B$48</f>
        <v>247.82634979199997</v>
      </c>
      <c r="J23" s="9">
        <f>F23*Supuestos!$B$40*60*Supuestos!$B$48</f>
        <v>5.8197968639999997</v>
      </c>
      <c r="K23" s="9">
        <f>F23*Supuestos!$B$40*IF(Supuestos!$B$37=0,1,0)*('Precios Azure'!$C$6+MAX(0,Supuestos!$B$46*E23*Supuestos!$B$30/1000000-13)*'Precios Azure'!$C$7)</f>
        <v>0</v>
      </c>
      <c r="L23" s="9">
        <f>F23*Supuestos!$B$40*Supuestos!$B$37*730*'Precios Azure'!$C$8</f>
        <v>434.35173739999993</v>
      </c>
      <c r="M23" s="9">
        <f>F23*Supuestos!$B$40*Supuestos!$B$38*730*'Precios Azure'!$C$9</f>
        <v>449.05647546399996</v>
      </c>
      <c r="N23" s="9">
        <f>F23*Supuestos!$B$40*Supuestos!$B$46*E23*(Supuestos!$B$31/1000*'Precios Azure'!$C$10+Supuestos!$B$32/1000*'Precios Azure'!$C$11)</f>
        <v>185.13744091106287</v>
      </c>
      <c r="O23" s="9">
        <f>F23*Supuestos!$B$40*((Supuestos!$B$46*E23*Supuestos!$B$22*Supuestos!$B$28/1000*Supuestos!$B$29/30.4+Supuestos!$B$46*E23*Supuestos!$B$33/1000000*Supuestos!$B$34)*'Precios Azure'!$C$12+Supuestos!$B$46*E23*Supuestos!$B$35/10000*'Precios Azure'!$C$13)</f>
        <v>110.23234806357711</v>
      </c>
      <c r="P23" s="9">
        <f>F23*Supuestos!$B$40*30.4*'Precios Azure'!$C$5</f>
        <v>3.2490273356799997</v>
      </c>
      <c r="Q23" s="9">
        <f>F23*Supuestos!$B$40*MAX(0,Supuestos!$B$36-5)*'Precios Azure'!$C$14</f>
        <v>101.61550079999999</v>
      </c>
      <c r="R23" s="9">
        <f>F23*Supuestos!$B$39*Supuestos!$B$44</f>
        <v>850</v>
      </c>
      <c r="S23" s="9">
        <f t="shared" si="0"/>
        <v>2387.28867663032</v>
      </c>
      <c r="T23" s="9">
        <f>D23*Supuestos!$B$19*Supuestos!$B$8</f>
        <v>24000</v>
      </c>
      <c r="U23" s="9">
        <f t="shared" si="1"/>
        <v>21612.71132336968</v>
      </c>
      <c r="V23" s="9">
        <f>SUM($U$2:U23)</f>
        <v>265302.15258654451</v>
      </c>
    </row>
    <row r="24" spans="1:22" x14ac:dyDescent="0.25">
      <c r="A24">
        <v>23</v>
      </c>
      <c r="B24" s="9">
        <f>IF(A24=1,Supuestos!$B$11,IF(A24=2,Supuestos!$B$12,IF(A24=3,Supuestos!$B$13,0)))*Supuestos!$B$45</f>
        <v>0</v>
      </c>
      <c r="C24" s="6">
        <f>IF(A24&lt;Supuestos!$B$15,0,IF(A24&gt;=Supuestos!$B$16,1,0.1+0.9*(A24-Supuestos!$B$15)/(Supuestos!$B$16-Supuestos!$B$15)))</f>
        <v>1</v>
      </c>
      <c r="D24" s="9">
        <f>Supuestos!$B$17*Supuestos!$B$18*C24</f>
        <v>1500</v>
      </c>
      <c r="E24" s="6">
        <f>IF(F24=0,0,IF(D24=0,0.05*Supuestos!$B$18,D24/Supuestos!$B$17))</f>
        <v>0.75</v>
      </c>
      <c r="F24" s="9">
        <f>IF(A24&gt;=Supuestos!$B$14,1,0)</f>
        <v>1</v>
      </c>
      <c r="G24" s="9">
        <f>IF(Supuestos!$B$9*Supuestos!$B$20*E24&gt;0,MAX(Supuestos!$B$25,CEILING(Supuestos!$B$9*Supuestos!$B$20*E24/Supuestos!$B$23,1)+Supuestos!$B$24),Supuestos!$B$25)</f>
        <v>5</v>
      </c>
      <c r="H24" s="9">
        <f>IF(Supuestos!$B$9*Supuestos!$B$21*E24&gt;0,MAX(Supuestos!$B$25,CEILING(Supuestos!$B$9*Supuestos!$B$21*E24/Supuestos!$B$23,1)+Supuestos!$B$24),Supuestos!$B$25)</f>
        <v>2</v>
      </c>
      <c r="I24" s="9">
        <f>F24*Supuestos!$B$40*(G24+H24)*365*Supuestos!$B$48</f>
        <v>247.82634979199997</v>
      </c>
      <c r="J24" s="9">
        <f>F24*Supuestos!$B$40*60*Supuestos!$B$48</f>
        <v>5.8197968639999997</v>
      </c>
      <c r="K24" s="9">
        <f>F24*Supuestos!$B$40*IF(Supuestos!$B$37=0,1,0)*('Precios Azure'!$C$6+MAX(0,Supuestos!$B$46*E24*Supuestos!$B$30/1000000-13)*'Precios Azure'!$C$7)</f>
        <v>0</v>
      </c>
      <c r="L24" s="9">
        <f>F24*Supuestos!$B$40*Supuestos!$B$37*730*'Precios Azure'!$C$8</f>
        <v>434.35173739999993</v>
      </c>
      <c r="M24" s="9">
        <f>F24*Supuestos!$B$40*Supuestos!$B$38*730*'Precios Azure'!$C$9</f>
        <v>449.05647546399996</v>
      </c>
      <c r="N24" s="9">
        <f>F24*Supuestos!$B$40*Supuestos!$B$46*E24*(Supuestos!$B$31/1000*'Precios Azure'!$C$10+Supuestos!$B$32/1000*'Precios Azure'!$C$11)</f>
        <v>185.13744091106287</v>
      </c>
      <c r="O24" s="9">
        <f>F24*Supuestos!$B$40*((Supuestos!$B$46*E24*Supuestos!$B$22*Supuestos!$B$28/1000*Supuestos!$B$29/30.4+Supuestos!$B$46*E24*Supuestos!$B$33/1000000*Supuestos!$B$34)*'Precios Azure'!$C$12+Supuestos!$B$46*E24*Supuestos!$B$35/10000*'Precios Azure'!$C$13)</f>
        <v>110.23234806357711</v>
      </c>
      <c r="P24" s="9">
        <f>F24*Supuestos!$B$40*30.4*'Precios Azure'!$C$5</f>
        <v>3.2490273356799997</v>
      </c>
      <c r="Q24" s="9">
        <f>F24*Supuestos!$B$40*MAX(0,Supuestos!$B$36-5)*'Precios Azure'!$C$14</f>
        <v>101.61550079999999</v>
      </c>
      <c r="R24" s="9">
        <f>F24*Supuestos!$B$39*Supuestos!$B$44</f>
        <v>850</v>
      </c>
      <c r="S24" s="9">
        <f t="shared" si="0"/>
        <v>2387.28867663032</v>
      </c>
      <c r="T24" s="9">
        <f>D24*Supuestos!$B$19*Supuestos!$B$8</f>
        <v>24000</v>
      </c>
      <c r="U24" s="9">
        <f t="shared" si="1"/>
        <v>21612.71132336968</v>
      </c>
      <c r="V24" s="9">
        <f>SUM($U$2:U24)</f>
        <v>286914.86390991422</v>
      </c>
    </row>
    <row r="25" spans="1:22" x14ac:dyDescent="0.25">
      <c r="A25">
        <v>24</v>
      </c>
      <c r="B25" s="9">
        <f>IF(A25=1,Supuestos!$B$11,IF(A25=2,Supuestos!$B$12,IF(A25=3,Supuestos!$B$13,0)))*Supuestos!$B$45</f>
        <v>0</v>
      </c>
      <c r="C25" s="6">
        <f>IF(A25&lt;Supuestos!$B$15,0,IF(A25&gt;=Supuestos!$B$16,1,0.1+0.9*(A25-Supuestos!$B$15)/(Supuestos!$B$16-Supuestos!$B$15)))</f>
        <v>1</v>
      </c>
      <c r="D25" s="9">
        <f>Supuestos!$B$17*Supuestos!$B$18*C25</f>
        <v>1500</v>
      </c>
      <c r="E25" s="6">
        <f>IF(F25=0,0,IF(D25=0,0.05*Supuestos!$B$18,D25/Supuestos!$B$17))</f>
        <v>0.75</v>
      </c>
      <c r="F25" s="9">
        <f>IF(A25&gt;=Supuestos!$B$14,1,0)</f>
        <v>1</v>
      </c>
      <c r="G25" s="9">
        <f>IF(Supuestos!$B$9*Supuestos!$B$20*E25&gt;0,MAX(Supuestos!$B$25,CEILING(Supuestos!$B$9*Supuestos!$B$20*E25/Supuestos!$B$23,1)+Supuestos!$B$24),Supuestos!$B$25)</f>
        <v>5</v>
      </c>
      <c r="H25" s="9">
        <f>IF(Supuestos!$B$9*Supuestos!$B$21*E25&gt;0,MAX(Supuestos!$B$25,CEILING(Supuestos!$B$9*Supuestos!$B$21*E25/Supuestos!$B$23,1)+Supuestos!$B$24),Supuestos!$B$25)</f>
        <v>2</v>
      </c>
      <c r="I25" s="9">
        <f>F25*Supuestos!$B$40*(G25+H25)*365*Supuestos!$B$48</f>
        <v>247.82634979199997</v>
      </c>
      <c r="J25" s="9">
        <f>F25*Supuestos!$B$40*60*Supuestos!$B$48</f>
        <v>5.8197968639999997</v>
      </c>
      <c r="K25" s="9">
        <f>F25*Supuestos!$B$40*IF(Supuestos!$B$37=0,1,0)*('Precios Azure'!$C$6+MAX(0,Supuestos!$B$46*E25*Supuestos!$B$30/1000000-13)*'Precios Azure'!$C$7)</f>
        <v>0</v>
      </c>
      <c r="L25" s="9">
        <f>F25*Supuestos!$B$40*Supuestos!$B$37*730*'Precios Azure'!$C$8</f>
        <v>434.35173739999993</v>
      </c>
      <c r="M25" s="9">
        <f>F25*Supuestos!$B$40*Supuestos!$B$38*730*'Precios Azure'!$C$9</f>
        <v>449.05647546399996</v>
      </c>
      <c r="N25" s="9">
        <f>F25*Supuestos!$B$40*Supuestos!$B$46*E25*(Supuestos!$B$31/1000*'Precios Azure'!$C$10+Supuestos!$B$32/1000*'Precios Azure'!$C$11)</f>
        <v>185.13744091106287</v>
      </c>
      <c r="O25" s="9">
        <f>F25*Supuestos!$B$40*((Supuestos!$B$46*E25*Supuestos!$B$22*Supuestos!$B$28/1000*Supuestos!$B$29/30.4+Supuestos!$B$46*E25*Supuestos!$B$33/1000000*Supuestos!$B$34)*'Precios Azure'!$C$12+Supuestos!$B$46*E25*Supuestos!$B$35/10000*'Precios Azure'!$C$13)</f>
        <v>110.23234806357711</v>
      </c>
      <c r="P25" s="9">
        <f>F25*Supuestos!$B$40*30.4*'Precios Azure'!$C$5</f>
        <v>3.2490273356799997</v>
      </c>
      <c r="Q25" s="9">
        <f>F25*Supuestos!$B$40*MAX(0,Supuestos!$B$36-5)*'Precios Azure'!$C$14</f>
        <v>101.61550079999999</v>
      </c>
      <c r="R25" s="9">
        <f>F25*Supuestos!$B$39*Supuestos!$B$44</f>
        <v>850</v>
      </c>
      <c r="S25" s="9">
        <f t="shared" si="0"/>
        <v>2387.28867663032</v>
      </c>
      <c r="T25" s="9">
        <f>D25*Supuestos!$B$19*Supuestos!$B$8</f>
        <v>24000</v>
      </c>
      <c r="U25" s="9">
        <f t="shared" si="1"/>
        <v>21612.71132336968</v>
      </c>
      <c r="V25" s="9">
        <f>SUM($U$2:U25)</f>
        <v>308527.57523328392</v>
      </c>
    </row>
    <row r="26" spans="1:22" x14ac:dyDescent="0.25">
      <c r="A26">
        <v>25</v>
      </c>
      <c r="B26" s="9">
        <f>IF(A26=1,Supuestos!$B$11,IF(A26=2,Supuestos!$B$12,IF(A26=3,Supuestos!$B$13,0)))*Supuestos!$B$45</f>
        <v>0</v>
      </c>
      <c r="C26" s="6">
        <f>IF(A26&lt;Supuestos!$B$15,0,IF(A26&gt;=Supuestos!$B$16,1,0.1+0.9*(A26-Supuestos!$B$15)/(Supuestos!$B$16-Supuestos!$B$15)))</f>
        <v>1</v>
      </c>
      <c r="D26" s="9">
        <f>Supuestos!$B$17*Supuestos!$B$18*C26</f>
        <v>1500</v>
      </c>
      <c r="E26" s="6">
        <f>IF(F26=0,0,IF(D26=0,0.05*Supuestos!$B$18,D26/Supuestos!$B$17))</f>
        <v>0.75</v>
      </c>
      <c r="F26" s="9">
        <f>IF(A26&gt;=Supuestos!$B$14,1,0)</f>
        <v>1</v>
      </c>
      <c r="G26" s="9">
        <f>IF(Supuestos!$B$9*Supuestos!$B$20*E26&gt;0,MAX(Supuestos!$B$25,CEILING(Supuestos!$B$9*Supuestos!$B$20*E26/Supuestos!$B$23,1)+Supuestos!$B$24),Supuestos!$B$25)</f>
        <v>5</v>
      </c>
      <c r="H26" s="9">
        <f>IF(Supuestos!$B$9*Supuestos!$B$21*E26&gt;0,MAX(Supuestos!$B$25,CEILING(Supuestos!$B$9*Supuestos!$B$21*E26/Supuestos!$B$23,1)+Supuestos!$B$24),Supuestos!$B$25)</f>
        <v>2</v>
      </c>
      <c r="I26" s="9">
        <f>F26*Supuestos!$B$40*(G26+H26)*365*Supuestos!$B$48</f>
        <v>247.82634979199997</v>
      </c>
      <c r="J26" s="9">
        <f>F26*Supuestos!$B$40*60*Supuestos!$B$48</f>
        <v>5.8197968639999997</v>
      </c>
      <c r="K26" s="9">
        <f>F26*Supuestos!$B$40*IF(Supuestos!$B$37=0,1,0)*('Precios Azure'!$C$6+MAX(0,Supuestos!$B$46*E26*Supuestos!$B$30/1000000-13)*'Precios Azure'!$C$7)</f>
        <v>0</v>
      </c>
      <c r="L26" s="9">
        <f>F26*Supuestos!$B$40*Supuestos!$B$37*730*'Precios Azure'!$C$8</f>
        <v>434.35173739999993</v>
      </c>
      <c r="M26" s="9">
        <f>F26*Supuestos!$B$40*Supuestos!$B$38*730*'Precios Azure'!$C$9</f>
        <v>449.05647546399996</v>
      </c>
      <c r="N26" s="9">
        <f>F26*Supuestos!$B$40*Supuestos!$B$46*E26*(Supuestos!$B$31/1000*'Precios Azure'!$C$10+Supuestos!$B$32/1000*'Precios Azure'!$C$11)</f>
        <v>185.13744091106287</v>
      </c>
      <c r="O26" s="9">
        <f>F26*Supuestos!$B$40*((Supuestos!$B$46*E26*Supuestos!$B$22*Supuestos!$B$28/1000*Supuestos!$B$29/30.4+Supuestos!$B$46*E26*Supuestos!$B$33/1000000*Supuestos!$B$34)*'Precios Azure'!$C$12+Supuestos!$B$46*E26*Supuestos!$B$35/10000*'Precios Azure'!$C$13)</f>
        <v>110.23234806357711</v>
      </c>
      <c r="P26" s="9">
        <f>F26*Supuestos!$B$40*30.4*'Precios Azure'!$C$5</f>
        <v>3.2490273356799997</v>
      </c>
      <c r="Q26" s="9">
        <f>F26*Supuestos!$B$40*MAX(0,Supuestos!$B$36-5)*'Precios Azure'!$C$14</f>
        <v>101.61550079999999</v>
      </c>
      <c r="R26" s="9">
        <f>F26*Supuestos!$B$39*Supuestos!$B$44</f>
        <v>850</v>
      </c>
      <c r="S26" s="9">
        <f t="shared" si="0"/>
        <v>2387.28867663032</v>
      </c>
      <c r="T26" s="9">
        <f>D26*Supuestos!$B$19*Supuestos!$B$8</f>
        <v>24000</v>
      </c>
      <c r="U26" s="9">
        <f t="shared" si="1"/>
        <v>21612.71132336968</v>
      </c>
      <c r="V26" s="9">
        <f>SUM($U$2:U26)</f>
        <v>330140.28655665362</v>
      </c>
    </row>
    <row r="27" spans="1:22" x14ac:dyDescent="0.25">
      <c r="A27">
        <v>26</v>
      </c>
      <c r="B27" s="9">
        <f>IF(A27=1,Supuestos!$B$11,IF(A27=2,Supuestos!$B$12,IF(A27=3,Supuestos!$B$13,0)))*Supuestos!$B$45</f>
        <v>0</v>
      </c>
      <c r="C27" s="6">
        <f>IF(A27&lt;Supuestos!$B$15,0,IF(A27&gt;=Supuestos!$B$16,1,0.1+0.9*(A27-Supuestos!$B$15)/(Supuestos!$B$16-Supuestos!$B$15)))</f>
        <v>1</v>
      </c>
      <c r="D27" s="9">
        <f>Supuestos!$B$17*Supuestos!$B$18*C27</f>
        <v>1500</v>
      </c>
      <c r="E27" s="6">
        <f>IF(F27=0,0,IF(D27=0,0.05*Supuestos!$B$18,D27/Supuestos!$B$17))</f>
        <v>0.75</v>
      </c>
      <c r="F27" s="9">
        <f>IF(A27&gt;=Supuestos!$B$14,1,0)</f>
        <v>1</v>
      </c>
      <c r="G27" s="9">
        <f>IF(Supuestos!$B$9*Supuestos!$B$20*E27&gt;0,MAX(Supuestos!$B$25,CEILING(Supuestos!$B$9*Supuestos!$B$20*E27/Supuestos!$B$23,1)+Supuestos!$B$24),Supuestos!$B$25)</f>
        <v>5</v>
      </c>
      <c r="H27" s="9">
        <f>IF(Supuestos!$B$9*Supuestos!$B$21*E27&gt;0,MAX(Supuestos!$B$25,CEILING(Supuestos!$B$9*Supuestos!$B$21*E27/Supuestos!$B$23,1)+Supuestos!$B$24),Supuestos!$B$25)</f>
        <v>2</v>
      </c>
      <c r="I27" s="9">
        <f>F27*Supuestos!$B$40*(G27+H27)*365*Supuestos!$B$48</f>
        <v>247.82634979199997</v>
      </c>
      <c r="J27" s="9">
        <f>F27*Supuestos!$B$40*60*Supuestos!$B$48</f>
        <v>5.8197968639999997</v>
      </c>
      <c r="K27" s="9">
        <f>F27*Supuestos!$B$40*IF(Supuestos!$B$37=0,1,0)*('Precios Azure'!$C$6+MAX(0,Supuestos!$B$46*E27*Supuestos!$B$30/1000000-13)*'Precios Azure'!$C$7)</f>
        <v>0</v>
      </c>
      <c r="L27" s="9">
        <f>F27*Supuestos!$B$40*Supuestos!$B$37*730*'Precios Azure'!$C$8</f>
        <v>434.35173739999993</v>
      </c>
      <c r="M27" s="9">
        <f>F27*Supuestos!$B$40*Supuestos!$B$38*730*'Precios Azure'!$C$9</f>
        <v>449.05647546399996</v>
      </c>
      <c r="N27" s="9">
        <f>F27*Supuestos!$B$40*Supuestos!$B$46*E27*(Supuestos!$B$31/1000*'Precios Azure'!$C$10+Supuestos!$B$32/1000*'Precios Azure'!$C$11)</f>
        <v>185.13744091106287</v>
      </c>
      <c r="O27" s="9">
        <f>F27*Supuestos!$B$40*((Supuestos!$B$46*E27*Supuestos!$B$22*Supuestos!$B$28/1000*Supuestos!$B$29/30.4+Supuestos!$B$46*E27*Supuestos!$B$33/1000000*Supuestos!$B$34)*'Precios Azure'!$C$12+Supuestos!$B$46*E27*Supuestos!$B$35/10000*'Precios Azure'!$C$13)</f>
        <v>110.23234806357711</v>
      </c>
      <c r="P27" s="9">
        <f>F27*Supuestos!$B$40*30.4*'Precios Azure'!$C$5</f>
        <v>3.2490273356799997</v>
      </c>
      <c r="Q27" s="9">
        <f>F27*Supuestos!$B$40*MAX(0,Supuestos!$B$36-5)*'Precios Azure'!$C$14</f>
        <v>101.61550079999999</v>
      </c>
      <c r="R27" s="9">
        <f>F27*Supuestos!$B$39*Supuestos!$B$44</f>
        <v>850</v>
      </c>
      <c r="S27" s="9">
        <f t="shared" si="0"/>
        <v>2387.28867663032</v>
      </c>
      <c r="T27" s="9">
        <f>D27*Supuestos!$B$19*Supuestos!$B$8</f>
        <v>24000</v>
      </c>
      <c r="U27" s="9">
        <f t="shared" si="1"/>
        <v>21612.71132336968</v>
      </c>
      <c r="V27" s="9">
        <f>SUM($U$2:U27)</f>
        <v>351752.99788002332</v>
      </c>
    </row>
    <row r="28" spans="1:22" x14ac:dyDescent="0.25">
      <c r="A28">
        <v>27</v>
      </c>
      <c r="B28" s="9">
        <f>IF(A28=1,Supuestos!$B$11,IF(A28=2,Supuestos!$B$12,IF(A28=3,Supuestos!$B$13,0)))*Supuestos!$B$45</f>
        <v>0</v>
      </c>
      <c r="C28" s="6">
        <f>IF(A28&lt;Supuestos!$B$15,0,IF(A28&gt;=Supuestos!$B$16,1,0.1+0.9*(A28-Supuestos!$B$15)/(Supuestos!$B$16-Supuestos!$B$15)))</f>
        <v>1</v>
      </c>
      <c r="D28" s="9">
        <f>Supuestos!$B$17*Supuestos!$B$18*C28</f>
        <v>1500</v>
      </c>
      <c r="E28" s="6">
        <f>IF(F28=0,0,IF(D28=0,0.05*Supuestos!$B$18,D28/Supuestos!$B$17))</f>
        <v>0.75</v>
      </c>
      <c r="F28" s="9">
        <f>IF(A28&gt;=Supuestos!$B$14,1,0)</f>
        <v>1</v>
      </c>
      <c r="G28" s="9">
        <f>IF(Supuestos!$B$9*Supuestos!$B$20*E28&gt;0,MAX(Supuestos!$B$25,CEILING(Supuestos!$B$9*Supuestos!$B$20*E28/Supuestos!$B$23,1)+Supuestos!$B$24),Supuestos!$B$25)</f>
        <v>5</v>
      </c>
      <c r="H28" s="9">
        <f>IF(Supuestos!$B$9*Supuestos!$B$21*E28&gt;0,MAX(Supuestos!$B$25,CEILING(Supuestos!$B$9*Supuestos!$B$21*E28/Supuestos!$B$23,1)+Supuestos!$B$24),Supuestos!$B$25)</f>
        <v>2</v>
      </c>
      <c r="I28" s="9">
        <f>F28*Supuestos!$B$40*(G28+H28)*365*Supuestos!$B$48</f>
        <v>247.82634979199997</v>
      </c>
      <c r="J28" s="9">
        <f>F28*Supuestos!$B$40*60*Supuestos!$B$48</f>
        <v>5.8197968639999997</v>
      </c>
      <c r="K28" s="9">
        <f>F28*Supuestos!$B$40*IF(Supuestos!$B$37=0,1,0)*('Precios Azure'!$C$6+MAX(0,Supuestos!$B$46*E28*Supuestos!$B$30/1000000-13)*'Precios Azure'!$C$7)</f>
        <v>0</v>
      </c>
      <c r="L28" s="9">
        <f>F28*Supuestos!$B$40*Supuestos!$B$37*730*'Precios Azure'!$C$8</f>
        <v>434.35173739999993</v>
      </c>
      <c r="M28" s="9">
        <f>F28*Supuestos!$B$40*Supuestos!$B$38*730*'Precios Azure'!$C$9</f>
        <v>449.05647546399996</v>
      </c>
      <c r="N28" s="9">
        <f>F28*Supuestos!$B$40*Supuestos!$B$46*E28*(Supuestos!$B$31/1000*'Precios Azure'!$C$10+Supuestos!$B$32/1000*'Precios Azure'!$C$11)</f>
        <v>185.13744091106287</v>
      </c>
      <c r="O28" s="9">
        <f>F28*Supuestos!$B$40*((Supuestos!$B$46*E28*Supuestos!$B$22*Supuestos!$B$28/1000*Supuestos!$B$29/30.4+Supuestos!$B$46*E28*Supuestos!$B$33/1000000*Supuestos!$B$34)*'Precios Azure'!$C$12+Supuestos!$B$46*E28*Supuestos!$B$35/10000*'Precios Azure'!$C$13)</f>
        <v>110.23234806357711</v>
      </c>
      <c r="P28" s="9">
        <f>F28*Supuestos!$B$40*30.4*'Precios Azure'!$C$5</f>
        <v>3.2490273356799997</v>
      </c>
      <c r="Q28" s="9">
        <f>F28*Supuestos!$B$40*MAX(0,Supuestos!$B$36-5)*'Precios Azure'!$C$14</f>
        <v>101.61550079999999</v>
      </c>
      <c r="R28" s="9">
        <f>F28*Supuestos!$B$39*Supuestos!$B$44</f>
        <v>850</v>
      </c>
      <c r="S28" s="9">
        <f t="shared" si="0"/>
        <v>2387.28867663032</v>
      </c>
      <c r="T28" s="9">
        <f>D28*Supuestos!$B$19*Supuestos!$B$8</f>
        <v>24000</v>
      </c>
      <c r="U28" s="9">
        <f t="shared" si="1"/>
        <v>21612.71132336968</v>
      </c>
      <c r="V28" s="9">
        <f>SUM($U$2:U28)</f>
        <v>373365.70920339302</v>
      </c>
    </row>
    <row r="29" spans="1:22" x14ac:dyDescent="0.25">
      <c r="A29">
        <v>28</v>
      </c>
      <c r="B29" s="9">
        <f>IF(A29=1,Supuestos!$B$11,IF(A29=2,Supuestos!$B$12,IF(A29=3,Supuestos!$B$13,0)))*Supuestos!$B$45</f>
        <v>0</v>
      </c>
      <c r="C29" s="6">
        <f>IF(A29&lt;Supuestos!$B$15,0,IF(A29&gt;=Supuestos!$B$16,1,0.1+0.9*(A29-Supuestos!$B$15)/(Supuestos!$B$16-Supuestos!$B$15)))</f>
        <v>1</v>
      </c>
      <c r="D29" s="9">
        <f>Supuestos!$B$17*Supuestos!$B$18*C29</f>
        <v>1500</v>
      </c>
      <c r="E29" s="6">
        <f>IF(F29=0,0,IF(D29=0,0.05*Supuestos!$B$18,D29/Supuestos!$B$17))</f>
        <v>0.75</v>
      </c>
      <c r="F29" s="9">
        <f>IF(A29&gt;=Supuestos!$B$14,1,0)</f>
        <v>1</v>
      </c>
      <c r="G29" s="9">
        <f>IF(Supuestos!$B$9*Supuestos!$B$20*E29&gt;0,MAX(Supuestos!$B$25,CEILING(Supuestos!$B$9*Supuestos!$B$20*E29/Supuestos!$B$23,1)+Supuestos!$B$24),Supuestos!$B$25)</f>
        <v>5</v>
      </c>
      <c r="H29" s="9">
        <f>IF(Supuestos!$B$9*Supuestos!$B$21*E29&gt;0,MAX(Supuestos!$B$25,CEILING(Supuestos!$B$9*Supuestos!$B$21*E29/Supuestos!$B$23,1)+Supuestos!$B$24),Supuestos!$B$25)</f>
        <v>2</v>
      </c>
      <c r="I29" s="9">
        <f>F29*Supuestos!$B$40*(G29+H29)*365*Supuestos!$B$48</f>
        <v>247.82634979199997</v>
      </c>
      <c r="J29" s="9">
        <f>F29*Supuestos!$B$40*60*Supuestos!$B$48</f>
        <v>5.8197968639999997</v>
      </c>
      <c r="K29" s="9">
        <f>F29*Supuestos!$B$40*IF(Supuestos!$B$37=0,1,0)*('Precios Azure'!$C$6+MAX(0,Supuestos!$B$46*E29*Supuestos!$B$30/1000000-13)*'Precios Azure'!$C$7)</f>
        <v>0</v>
      </c>
      <c r="L29" s="9">
        <f>F29*Supuestos!$B$40*Supuestos!$B$37*730*'Precios Azure'!$C$8</f>
        <v>434.35173739999993</v>
      </c>
      <c r="M29" s="9">
        <f>F29*Supuestos!$B$40*Supuestos!$B$38*730*'Precios Azure'!$C$9</f>
        <v>449.05647546399996</v>
      </c>
      <c r="N29" s="9">
        <f>F29*Supuestos!$B$40*Supuestos!$B$46*E29*(Supuestos!$B$31/1000*'Precios Azure'!$C$10+Supuestos!$B$32/1000*'Precios Azure'!$C$11)</f>
        <v>185.13744091106287</v>
      </c>
      <c r="O29" s="9">
        <f>F29*Supuestos!$B$40*((Supuestos!$B$46*E29*Supuestos!$B$22*Supuestos!$B$28/1000*Supuestos!$B$29/30.4+Supuestos!$B$46*E29*Supuestos!$B$33/1000000*Supuestos!$B$34)*'Precios Azure'!$C$12+Supuestos!$B$46*E29*Supuestos!$B$35/10000*'Precios Azure'!$C$13)</f>
        <v>110.23234806357711</v>
      </c>
      <c r="P29" s="9">
        <f>F29*Supuestos!$B$40*30.4*'Precios Azure'!$C$5</f>
        <v>3.2490273356799997</v>
      </c>
      <c r="Q29" s="9">
        <f>F29*Supuestos!$B$40*MAX(0,Supuestos!$B$36-5)*'Precios Azure'!$C$14</f>
        <v>101.61550079999999</v>
      </c>
      <c r="R29" s="9">
        <f>F29*Supuestos!$B$39*Supuestos!$B$44</f>
        <v>850</v>
      </c>
      <c r="S29" s="9">
        <f t="shared" si="0"/>
        <v>2387.28867663032</v>
      </c>
      <c r="T29" s="9">
        <f>D29*Supuestos!$B$19*Supuestos!$B$8</f>
        <v>24000</v>
      </c>
      <c r="U29" s="9">
        <f t="shared" si="1"/>
        <v>21612.71132336968</v>
      </c>
      <c r="V29" s="9">
        <f>SUM($U$2:U29)</f>
        <v>394978.42052676273</v>
      </c>
    </row>
    <row r="30" spans="1:22" x14ac:dyDescent="0.25">
      <c r="A30">
        <v>29</v>
      </c>
      <c r="B30" s="9">
        <f>IF(A30=1,Supuestos!$B$11,IF(A30=2,Supuestos!$B$12,IF(A30=3,Supuestos!$B$13,0)))*Supuestos!$B$45</f>
        <v>0</v>
      </c>
      <c r="C30" s="6">
        <f>IF(A30&lt;Supuestos!$B$15,0,IF(A30&gt;=Supuestos!$B$16,1,0.1+0.9*(A30-Supuestos!$B$15)/(Supuestos!$B$16-Supuestos!$B$15)))</f>
        <v>1</v>
      </c>
      <c r="D30" s="9">
        <f>Supuestos!$B$17*Supuestos!$B$18*C30</f>
        <v>1500</v>
      </c>
      <c r="E30" s="6">
        <f>IF(F30=0,0,IF(D30=0,0.05*Supuestos!$B$18,D30/Supuestos!$B$17))</f>
        <v>0.75</v>
      </c>
      <c r="F30" s="9">
        <f>IF(A30&gt;=Supuestos!$B$14,1,0)</f>
        <v>1</v>
      </c>
      <c r="G30" s="9">
        <f>IF(Supuestos!$B$9*Supuestos!$B$20*E30&gt;0,MAX(Supuestos!$B$25,CEILING(Supuestos!$B$9*Supuestos!$B$20*E30/Supuestos!$B$23,1)+Supuestos!$B$24),Supuestos!$B$25)</f>
        <v>5</v>
      </c>
      <c r="H30" s="9">
        <f>IF(Supuestos!$B$9*Supuestos!$B$21*E30&gt;0,MAX(Supuestos!$B$25,CEILING(Supuestos!$B$9*Supuestos!$B$21*E30/Supuestos!$B$23,1)+Supuestos!$B$24),Supuestos!$B$25)</f>
        <v>2</v>
      </c>
      <c r="I30" s="9">
        <f>F30*Supuestos!$B$40*(G30+H30)*365*Supuestos!$B$48</f>
        <v>247.82634979199997</v>
      </c>
      <c r="J30" s="9">
        <f>F30*Supuestos!$B$40*60*Supuestos!$B$48</f>
        <v>5.8197968639999997</v>
      </c>
      <c r="K30" s="9">
        <f>F30*Supuestos!$B$40*IF(Supuestos!$B$37=0,1,0)*('Precios Azure'!$C$6+MAX(0,Supuestos!$B$46*E30*Supuestos!$B$30/1000000-13)*'Precios Azure'!$C$7)</f>
        <v>0</v>
      </c>
      <c r="L30" s="9">
        <f>F30*Supuestos!$B$40*Supuestos!$B$37*730*'Precios Azure'!$C$8</f>
        <v>434.35173739999993</v>
      </c>
      <c r="M30" s="9">
        <f>F30*Supuestos!$B$40*Supuestos!$B$38*730*'Precios Azure'!$C$9</f>
        <v>449.05647546399996</v>
      </c>
      <c r="N30" s="9">
        <f>F30*Supuestos!$B$40*Supuestos!$B$46*E30*(Supuestos!$B$31/1000*'Precios Azure'!$C$10+Supuestos!$B$32/1000*'Precios Azure'!$C$11)</f>
        <v>185.13744091106287</v>
      </c>
      <c r="O30" s="9">
        <f>F30*Supuestos!$B$40*((Supuestos!$B$46*E30*Supuestos!$B$22*Supuestos!$B$28/1000*Supuestos!$B$29/30.4+Supuestos!$B$46*E30*Supuestos!$B$33/1000000*Supuestos!$B$34)*'Precios Azure'!$C$12+Supuestos!$B$46*E30*Supuestos!$B$35/10000*'Precios Azure'!$C$13)</f>
        <v>110.23234806357711</v>
      </c>
      <c r="P30" s="9">
        <f>F30*Supuestos!$B$40*30.4*'Precios Azure'!$C$5</f>
        <v>3.2490273356799997</v>
      </c>
      <c r="Q30" s="9">
        <f>F30*Supuestos!$B$40*MAX(0,Supuestos!$B$36-5)*'Precios Azure'!$C$14</f>
        <v>101.61550079999999</v>
      </c>
      <c r="R30" s="9">
        <f>F30*Supuestos!$B$39*Supuestos!$B$44</f>
        <v>850</v>
      </c>
      <c r="S30" s="9">
        <f t="shared" si="0"/>
        <v>2387.28867663032</v>
      </c>
      <c r="T30" s="9">
        <f>D30*Supuestos!$B$19*Supuestos!$B$8</f>
        <v>24000</v>
      </c>
      <c r="U30" s="9">
        <f t="shared" si="1"/>
        <v>21612.71132336968</v>
      </c>
      <c r="V30" s="9">
        <f>SUM($U$2:U30)</f>
        <v>416591.13185013243</v>
      </c>
    </row>
    <row r="31" spans="1:22" x14ac:dyDescent="0.25">
      <c r="A31">
        <v>30</v>
      </c>
      <c r="B31" s="9">
        <f>IF(A31=1,Supuestos!$B$11,IF(A31=2,Supuestos!$B$12,IF(A31=3,Supuestos!$B$13,0)))*Supuestos!$B$45</f>
        <v>0</v>
      </c>
      <c r="C31" s="6">
        <f>IF(A31&lt;Supuestos!$B$15,0,IF(A31&gt;=Supuestos!$B$16,1,0.1+0.9*(A31-Supuestos!$B$15)/(Supuestos!$B$16-Supuestos!$B$15)))</f>
        <v>1</v>
      </c>
      <c r="D31" s="9">
        <f>Supuestos!$B$17*Supuestos!$B$18*C31</f>
        <v>1500</v>
      </c>
      <c r="E31" s="6">
        <f>IF(F31=0,0,IF(D31=0,0.05*Supuestos!$B$18,D31/Supuestos!$B$17))</f>
        <v>0.75</v>
      </c>
      <c r="F31" s="9">
        <f>IF(A31&gt;=Supuestos!$B$14,1,0)</f>
        <v>1</v>
      </c>
      <c r="G31" s="9">
        <f>IF(Supuestos!$B$9*Supuestos!$B$20*E31&gt;0,MAX(Supuestos!$B$25,CEILING(Supuestos!$B$9*Supuestos!$B$20*E31/Supuestos!$B$23,1)+Supuestos!$B$24),Supuestos!$B$25)</f>
        <v>5</v>
      </c>
      <c r="H31" s="9">
        <f>IF(Supuestos!$B$9*Supuestos!$B$21*E31&gt;0,MAX(Supuestos!$B$25,CEILING(Supuestos!$B$9*Supuestos!$B$21*E31/Supuestos!$B$23,1)+Supuestos!$B$24),Supuestos!$B$25)</f>
        <v>2</v>
      </c>
      <c r="I31" s="9">
        <f>F31*Supuestos!$B$40*(G31+H31)*365*Supuestos!$B$48</f>
        <v>247.82634979199997</v>
      </c>
      <c r="J31" s="9">
        <f>F31*Supuestos!$B$40*60*Supuestos!$B$48</f>
        <v>5.8197968639999997</v>
      </c>
      <c r="K31" s="9">
        <f>F31*Supuestos!$B$40*IF(Supuestos!$B$37=0,1,0)*('Precios Azure'!$C$6+MAX(0,Supuestos!$B$46*E31*Supuestos!$B$30/1000000-13)*'Precios Azure'!$C$7)</f>
        <v>0</v>
      </c>
      <c r="L31" s="9">
        <f>F31*Supuestos!$B$40*Supuestos!$B$37*730*'Precios Azure'!$C$8</f>
        <v>434.35173739999993</v>
      </c>
      <c r="M31" s="9">
        <f>F31*Supuestos!$B$40*Supuestos!$B$38*730*'Precios Azure'!$C$9</f>
        <v>449.05647546399996</v>
      </c>
      <c r="N31" s="9">
        <f>F31*Supuestos!$B$40*Supuestos!$B$46*E31*(Supuestos!$B$31/1000*'Precios Azure'!$C$10+Supuestos!$B$32/1000*'Precios Azure'!$C$11)</f>
        <v>185.13744091106287</v>
      </c>
      <c r="O31" s="9">
        <f>F31*Supuestos!$B$40*((Supuestos!$B$46*E31*Supuestos!$B$22*Supuestos!$B$28/1000*Supuestos!$B$29/30.4+Supuestos!$B$46*E31*Supuestos!$B$33/1000000*Supuestos!$B$34)*'Precios Azure'!$C$12+Supuestos!$B$46*E31*Supuestos!$B$35/10000*'Precios Azure'!$C$13)</f>
        <v>110.23234806357711</v>
      </c>
      <c r="P31" s="9">
        <f>F31*Supuestos!$B$40*30.4*'Precios Azure'!$C$5</f>
        <v>3.2490273356799997</v>
      </c>
      <c r="Q31" s="9">
        <f>F31*Supuestos!$B$40*MAX(0,Supuestos!$B$36-5)*'Precios Azure'!$C$14</f>
        <v>101.61550079999999</v>
      </c>
      <c r="R31" s="9">
        <f>F31*Supuestos!$B$39*Supuestos!$B$44</f>
        <v>850</v>
      </c>
      <c r="S31" s="9">
        <f t="shared" si="0"/>
        <v>2387.28867663032</v>
      </c>
      <c r="T31" s="9">
        <f>D31*Supuestos!$B$19*Supuestos!$B$8</f>
        <v>24000</v>
      </c>
      <c r="U31" s="9">
        <f t="shared" si="1"/>
        <v>21612.71132336968</v>
      </c>
      <c r="V31" s="9">
        <f>SUM($U$2:U31)</f>
        <v>438203.84317350213</v>
      </c>
    </row>
    <row r="32" spans="1:22" x14ac:dyDescent="0.25">
      <c r="A32">
        <v>31</v>
      </c>
      <c r="B32" s="9">
        <f>IF(A32=1,Supuestos!$B$11,IF(A32=2,Supuestos!$B$12,IF(A32=3,Supuestos!$B$13,0)))*Supuestos!$B$45</f>
        <v>0</v>
      </c>
      <c r="C32" s="6">
        <f>IF(A32&lt;Supuestos!$B$15,0,IF(A32&gt;=Supuestos!$B$16,1,0.1+0.9*(A32-Supuestos!$B$15)/(Supuestos!$B$16-Supuestos!$B$15)))</f>
        <v>1</v>
      </c>
      <c r="D32" s="9">
        <f>Supuestos!$B$17*Supuestos!$B$18*C32</f>
        <v>1500</v>
      </c>
      <c r="E32" s="6">
        <f>IF(F32=0,0,IF(D32=0,0.05*Supuestos!$B$18,D32/Supuestos!$B$17))</f>
        <v>0.75</v>
      </c>
      <c r="F32" s="9">
        <f>IF(A32&gt;=Supuestos!$B$14,1,0)</f>
        <v>1</v>
      </c>
      <c r="G32" s="9">
        <f>IF(Supuestos!$B$9*Supuestos!$B$20*E32&gt;0,MAX(Supuestos!$B$25,CEILING(Supuestos!$B$9*Supuestos!$B$20*E32/Supuestos!$B$23,1)+Supuestos!$B$24),Supuestos!$B$25)</f>
        <v>5</v>
      </c>
      <c r="H32" s="9">
        <f>IF(Supuestos!$B$9*Supuestos!$B$21*E32&gt;0,MAX(Supuestos!$B$25,CEILING(Supuestos!$B$9*Supuestos!$B$21*E32/Supuestos!$B$23,1)+Supuestos!$B$24),Supuestos!$B$25)</f>
        <v>2</v>
      </c>
      <c r="I32" s="9">
        <f>F32*Supuestos!$B$40*(G32+H32)*365*Supuestos!$B$48</f>
        <v>247.82634979199997</v>
      </c>
      <c r="J32" s="9">
        <f>F32*Supuestos!$B$40*60*Supuestos!$B$48</f>
        <v>5.8197968639999997</v>
      </c>
      <c r="K32" s="9">
        <f>F32*Supuestos!$B$40*IF(Supuestos!$B$37=0,1,0)*('Precios Azure'!$C$6+MAX(0,Supuestos!$B$46*E32*Supuestos!$B$30/1000000-13)*'Precios Azure'!$C$7)</f>
        <v>0</v>
      </c>
      <c r="L32" s="9">
        <f>F32*Supuestos!$B$40*Supuestos!$B$37*730*'Precios Azure'!$C$8</f>
        <v>434.35173739999993</v>
      </c>
      <c r="M32" s="9">
        <f>F32*Supuestos!$B$40*Supuestos!$B$38*730*'Precios Azure'!$C$9</f>
        <v>449.05647546399996</v>
      </c>
      <c r="N32" s="9">
        <f>F32*Supuestos!$B$40*Supuestos!$B$46*E32*(Supuestos!$B$31/1000*'Precios Azure'!$C$10+Supuestos!$B$32/1000*'Precios Azure'!$C$11)</f>
        <v>185.13744091106287</v>
      </c>
      <c r="O32" s="9">
        <f>F32*Supuestos!$B$40*((Supuestos!$B$46*E32*Supuestos!$B$22*Supuestos!$B$28/1000*Supuestos!$B$29/30.4+Supuestos!$B$46*E32*Supuestos!$B$33/1000000*Supuestos!$B$34)*'Precios Azure'!$C$12+Supuestos!$B$46*E32*Supuestos!$B$35/10000*'Precios Azure'!$C$13)</f>
        <v>110.23234806357711</v>
      </c>
      <c r="P32" s="9">
        <f>F32*Supuestos!$B$40*30.4*'Precios Azure'!$C$5</f>
        <v>3.2490273356799997</v>
      </c>
      <c r="Q32" s="9">
        <f>F32*Supuestos!$B$40*MAX(0,Supuestos!$B$36-5)*'Precios Azure'!$C$14</f>
        <v>101.61550079999999</v>
      </c>
      <c r="R32" s="9">
        <f>F32*Supuestos!$B$39*Supuestos!$B$44</f>
        <v>850</v>
      </c>
      <c r="S32" s="9">
        <f t="shared" si="0"/>
        <v>2387.28867663032</v>
      </c>
      <c r="T32" s="9">
        <f>D32*Supuestos!$B$19*Supuestos!$B$8</f>
        <v>24000</v>
      </c>
      <c r="U32" s="9">
        <f t="shared" si="1"/>
        <v>21612.71132336968</v>
      </c>
      <c r="V32" s="9">
        <f>SUM($U$2:U32)</f>
        <v>459816.55449687183</v>
      </c>
    </row>
    <row r="33" spans="1:22" x14ac:dyDescent="0.25">
      <c r="A33">
        <v>32</v>
      </c>
      <c r="B33" s="9">
        <f>IF(A33=1,Supuestos!$B$11,IF(A33=2,Supuestos!$B$12,IF(A33=3,Supuestos!$B$13,0)))*Supuestos!$B$45</f>
        <v>0</v>
      </c>
      <c r="C33" s="6">
        <f>IF(A33&lt;Supuestos!$B$15,0,IF(A33&gt;=Supuestos!$B$16,1,0.1+0.9*(A33-Supuestos!$B$15)/(Supuestos!$B$16-Supuestos!$B$15)))</f>
        <v>1</v>
      </c>
      <c r="D33" s="9">
        <f>Supuestos!$B$17*Supuestos!$B$18*C33</f>
        <v>1500</v>
      </c>
      <c r="E33" s="6">
        <f>IF(F33=0,0,IF(D33=0,0.05*Supuestos!$B$18,D33/Supuestos!$B$17))</f>
        <v>0.75</v>
      </c>
      <c r="F33" s="9">
        <f>IF(A33&gt;=Supuestos!$B$14,1,0)</f>
        <v>1</v>
      </c>
      <c r="G33" s="9">
        <f>IF(Supuestos!$B$9*Supuestos!$B$20*E33&gt;0,MAX(Supuestos!$B$25,CEILING(Supuestos!$B$9*Supuestos!$B$20*E33/Supuestos!$B$23,1)+Supuestos!$B$24),Supuestos!$B$25)</f>
        <v>5</v>
      </c>
      <c r="H33" s="9">
        <f>IF(Supuestos!$B$9*Supuestos!$B$21*E33&gt;0,MAX(Supuestos!$B$25,CEILING(Supuestos!$B$9*Supuestos!$B$21*E33/Supuestos!$B$23,1)+Supuestos!$B$24),Supuestos!$B$25)</f>
        <v>2</v>
      </c>
      <c r="I33" s="9">
        <f>F33*Supuestos!$B$40*(G33+H33)*365*Supuestos!$B$48</f>
        <v>247.82634979199997</v>
      </c>
      <c r="J33" s="9">
        <f>F33*Supuestos!$B$40*60*Supuestos!$B$48</f>
        <v>5.8197968639999997</v>
      </c>
      <c r="K33" s="9">
        <f>F33*Supuestos!$B$40*IF(Supuestos!$B$37=0,1,0)*('Precios Azure'!$C$6+MAX(0,Supuestos!$B$46*E33*Supuestos!$B$30/1000000-13)*'Precios Azure'!$C$7)</f>
        <v>0</v>
      </c>
      <c r="L33" s="9">
        <f>F33*Supuestos!$B$40*Supuestos!$B$37*730*'Precios Azure'!$C$8</f>
        <v>434.35173739999993</v>
      </c>
      <c r="M33" s="9">
        <f>F33*Supuestos!$B$40*Supuestos!$B$38*730*'Precios Azure'!$C$9</f>
        <v>449.05647546399996</v>
      </c>
      <c r="N33" s="9">
        <f>F33*Supuestos!$B$40*Supuestos!$B$46*E33*(Supuestos!$B$31/1000*'Precios Azure'!$C$10+Supuestos!$B$32/1000*'Precios Azure'!$C$11)</f>
        <v>185.13744091106287</v>
      </c>
      <c r="O33" s="9">
        <f>F33*Supuestos!$B$40*((Supuestos!$B$46*E33*Supuestos!$B$22*Supuestos!$B$28/1000*Supuestos!$B$29/30.4+Supuestos!$B$46*E33*Supuestos!$B$33/1000000*Supuestos!$B$34)*'Precios Azure'!$C$12+Supuestos!$B$46*E33*Supuestos!$B$35/10000*'Precios Azure'!$C$13)</f>
        <v>110.23234806357711</v>
      </c>
      <c r="P33" s="9">
        <f>F33*Supuestos!$B$40*30.4*'Precios Azure'!$C$5</f>
        <v>3.2490273356799997</v>
      </c>
      <c r="Q33" s="9">
        <f>F33*Supuestos!$B$40*MAX(0,Supuestos!$B$36-5)*'Precios Azure'!$C$14</f>
        <v>101.61550079999999</v>
      </c>
      <c r="R33" s="9">
        <f>F33*Supuestos!$B$39*Supuestos!$B$44</f>
        <v>850</v>
      </c>
      <c r="S33" s="9">
        <f t="shared" si="0"/>
        <v>2387.28867663032</v>
      </c>
      <c r="T33" s="9">
        <f>D33*Supuestos!$B$19*Supuestos!$B$8</f>
        <v>24000</v>
      </c>
      <c r="U33" s="9">
        <f t="shared" si="1"/>
        <v>21612.71132336968</v>
      </c>
      <c r="V33" s="9">
        <f>SUM($U$2:U33)</f>
        <v>481429.26582024153</v>
      </c>
    </row>
    <row r="34" spans="1:22" x14ac:dyDescent="0.25">
      <c r="A34">
        <v>33</v>
      </c>
      <c r="B34" s="9">
        <f>IF(A34=1,Supuestos!$B$11,IF(A34=2,Supuestos!$B$12,IF(A34=3,Supuestos!$B$13,0)))*Supuestos!$B$45</f>
        <v>0</v>
      </c>
      <c r="C34" s="6">
        <f>IF(A34&lt;Supuestos!$B$15,0,IF(A34&gt;=Supuestos!$B$16,1,0.1+0.9*(A34-Supuestos!$B$15)/(Supuestos!$B$16-Supuestos!$B$15)))</f>
        <v>1</v>
      </c>
      <c r="D34" s="9">
        <f>Supuestos!$B$17*Supuestos!$B$18*C34</f>
        <v>1500</v>
      </c>
      <c r="E34" s="6">
        <f>IF(F34=0,0,IF(D34=0,0.05*Supuestos!$B$18,D34/Supuestos!$B$17))</f>
        <v>0.75</v>
      </c>
      <c r="F34" s="9">
        <f>IF(A34&gt;=Supuestos!$B$14,1,0)</f>
        <v>1</v>
      </c>
      <c r="G34" s="9">
        <f>IF(Supuestos!$B$9*Supuestos!$B$20*E34&gt;0,MAX(Supuestos!$B$25,CEILING(Supuestos!$B$9*Supuestos!$B$20*E34/Supuestos!$B$23,1)+Supuestos!$B$24),Supuestos!$B$25)</f>
        <v>5</v>
      </c>
      <c r="H34" s="9">
        <f>IF(Supuestos!$B$9*Supuestos!$B$21*E34&gt;0,MAX(Supuestos!$B$25,CEILING(Supuestos!$B$9*Supuestos!$B$21*E34/Supuestos!$B$23,1)+Supuestos!$B$24),Supuestos!$B$25)</f>
        <v>2</v>
      </c>
      <c r="I34" s="9">
        <f>F34*Supuestos!$B$40*(G34+H34)*365*Supuestos!$B$48</f>
        <v>247.82634979199997</v>
      </c>
      <c r="J34" s="9">
        <f>F34*Supuestos!$B$40*60*Supuestos!$B$48</f>
        <v>5.8197968639999997</v>
      </c>
      <c r="K34" s="9">
        <f>F34*Supuestos!$B$40*IF(Supuestos!$B$37=0,1,0)*('Precios Azure'!$C$6+MAX(0,Supuestos!$B$46*E34*Supuestos!$B$30/1000000-13)*'Precios Azure'!$C$7)</f>
        <v>0</v>
      </c>
      <c r="L34" s="9">
        <f>F34*Supuestos!$B$40*Supuestos!$B$37*730*'Precios Azure'!$C$8</f>
        <v>434.35173739999993</v>
      </c>
      <c r="M34" s="9">
        <f>F34*Supuestos!$B$40*Supuestos!$B$38*730*'Precios Azure'!$C$9</f>
        <v>449.05647546399996</v>
      </c>
      <c r="N34" s="9">
        <f>F34*Supuestos!$B$40*Supuestos!$B$46*E34*(Supuestos!$B$31/1000*'Precios Azure'!$C$10+Supuestos!$B$32/1000*'Precios Azure'!$C$11)</f>
        <v>185.13744091106287</v>
      </c>
      <c r="O34" s="9">
        <f>F34*Supuestos!$B$40*((Supuestos!$B$46*E34*Supuestos!$B$22*Supuestos!$B$28/1000*Supuestos!$B$29/30.4+Supuestos!$B$46*E34*Supuestos!$B$33/1000000*Supuestos!$B$34)*'Precios Azure'!$C$12+Supuestos!$B$46*E34*Supuestos!$B$35/10000*'Precios Azure'!$C$13)</f>
        <v>110.23234806357711</v>
      </c>
      <c r="P34" s="9">
        <f>F34*Supuestos!$B$40*30.4*'Precios Azure'!$C$5</f>
        <v>3.2490273356799997</v>
      </c>
      <c r="Q34" s="9">
        <f>F34*Supuestos!$B$40*MAX(0,Supuestos!$B$36-5)*'Precios Azure'!$C$14</f>
        <v>101.61550079999999</v>
      </c>
      <c r="R34" s="9">
        <f>F34*Supuestos!$B$39*Supuestos!$B$44</f>
        <v>850</v>
      </c>
      <c r="S34" s="9">
        <f t="shared" si="0"/>
        <v>2387.28867663032</v>
      </c>
      <c r="T34" s="9">
        <f>D34*Supuestos!$B$19*Supuestos!$B$8</f>
        <v>24000</v>
      </c>
      <c r="U34" s="9">
        <f t="shared" si="1"/>
        <v>21612.71132336968</v>
      </c>
      <c r="V34" s="9">
        <f>SUM($U$2:U34)</f>
        <v>503041.97714361124</v>
      </c>
    </row>
    <row r="35" spans="1:22" x14ac:dyDescent="0.25">
      <c r="A35">
        <v>34</v>
      </c>
      <c r="B35" s="9">
        <f>IF(A35=1,Supuestos!$B$11,IF(A35=2,Supuestos!$B$12,IF(A35=3,Supuestos!$B$13,0)))*Supuestos!$B$45</f>
        <v>0</v>
      </c>
      <c r="C35" s="6">
        <f>IF(A35&lt;Supuestos!$B$15,0,IF(A35&gt;=Supuestos!$B$16,1,0.1+0.9*(A35-Supuestos!$B$15)/(Supuestos!$B$16-Supuestos!$B$15)))</f>
        <v>1</v>
      </c>
      <c r="D35" s="9">
        <f>Supuestos!$B$17*Supuestos!$B$18*C35</f>
        <v>1500</v>
      </c>
      <c r="E35" s="6">
        <f>IF(F35=0,0,IF(D35=0,0.05*Supuestos!$B$18,D35/Supuestos!$B$17))</f>
        <v>0.75</v>
      </c>
      <c r="F35" s="9">
        <f>IF(A35&gt;=Supuestos!$B$14,1,0)</f>
        <v>1</v>
      </c>
      <c r="G35" s="9">
        <f>IF(Supuestos!$B$9*Supuestos!$B$20*E35&gt;0,MAX(Supuestos!$B$25,CEILING(Supuestos!$B$9*Supuestos!$B$20*E35/Supuestos!$B$23,1)+Supuestos!$B$24),Supuestos!$B$25)</f>
        <v>5</v>
      </c>
      <c r="H35" s="9">
        <f>IF(Supuestos!$B$9*Supuestos!$B$21*E35&gt;0,MAX(Supuestos!$B$25,CEILING(Supuestos!$B$9*Supuestos!$B$21*E35/Supuestos!$B$23,1)+Supuestos!$B$24),Supuestos!$B$25)</f>
        <v>2</v>
      </c>
      <c r="I35" s="9">
        <f>F35*Supuestos!$B$40*(G35+H35)*365*Supuestos!$B$48</f>
        <v>247.82634979199997</v>
      </c>
      <c r="J35" s="9">
        <f>F35*Supuestos!$B$40*60*Supuestos!$B$48</f>
        <v>5.8197968639999997</v>
      </c>
      <c r="K35" s="9">
        <f>F35*Supuestos!$B$40*IF(Supuestos!$B$37=0,1,0)*('Precios Azure'!$C$6+MAX(0,Supuestos!$B$46*E35*Supuestos!$B$30/1000000-13)*'Precios Azure'!$C$7)</f>
        <v>0</v>
      </c>
      <c r="L35" s="9">
        <f>F35*Supuestos!$B$40*Supuestos!$B$37*730*'Precios Azure'!$C$8</f>
        <v>434.35173739999993</v>
      </c>
      <c r="M35" s="9">
        <f>F35*Supuestos!$B$40*Supuestos!$B$38*730*'Precios Azure'!$C$9</f>
        <v>449.05647546399996</v>
      </c>
      <c r="N35" s="9">
        <f>F35*Supuestos!$B$40*Supuestos!$B$46*E35*(Supuestos!$B$31/1000*'Precios Azure'!$C$10+Supuestos!$B$32/1000*'Precios Azure'!$C$11)</f>
        <v>185.13744091106287</v>
      </c>
      <c r="O35" s="9">
        <f>F35*Supuestos!$B$40*((Supuestos!$B$46*E35*Supuestos!$B$22*Supuestos!$B$28/1000*Supuestos!$B$29/30.4+Supuestos!$B$46*E35*Supuestos!$B$33/1000000*Supuestos!$B$34)*'Precios Azure'!$C$12+Supuestos!$B$46*E35*Supuestos!$B$35/10000*'Precios Azure'!$C$13)</f>
        <v>110.23234806357711</v>
      </c>
      <c r="P35" s="9">
        <f>F35*Supuestos!$B$40*30.4*'Precios Azure'!$C$5</f>
        <v>3.2490273356799997</v>
      </c>
      <c r="Q35" s="9">
        <f>F35*Supuestos!$B$40*MAX(0,Supuestos!$B$36-5)*'Precios Azure'!$C$14</f>
        <v>101.61550079999999</v>
      </c>
      <c r="R35" s="9">
        <f>F35*Supuestos!$B$39*Supuestos!$B$44</f>
        <v>850</v>
      </c>
      <c r="S35" s="9">
        <f t="shared" si="0"/>
        <v>2387.28867663032</v>
      </c>
      <c r="T35" s="9">
        <f>D35*Supuestos!$B$19*Supuestos!$B$8</f>
        <v>24000</v>
      </c>
      <c r="U35" s="9">
        <f t="shared" si="1"/>
        <v>21612.71132336968</v>
      </c>
      <c r="V35" s="9">
        <f>SUM($U$2:U35)</f>
        <v>524654.68846698094</v>
      </c>
    </row>
    <row r="36" spans="1:22" x14ac:dyDescent="0.25">
      <c r="A36">
        <v>35</v>
      </c>
      <c r="B36" s="9">
        <f>IF(A36=1,Supuestos!$B$11,IF(A36=2,Supuestos!$B$12,IF(A36=3,Supuestos!$B$13,0)))*Supuestos!$B$45</f>
        <v>0</v>
      </c>
      <c r="C36" s="6">
        <f>IF(A36&lt;Supuestos!$B$15,0,IF(A36&gt;=Supuestos!$B$16,1,0.1+0.9*(A36-Supuestos!$B$15)/(Supuestos!$B$16-Supuestos!$B$15)))</f>
        <v>1</v>
      </c>
      <c r="D36" s="9">
        <f>Supuestos!$B$17*Supuestos!$B$18*C36</f>
        <v>1500</v>
      </c>
      <c r="E36" s="6">
        <f>IF(F36=0,0,IF(D36=0,0.05*Supuestos!$B$18,D36/Supuestos!$B$17))</f>
        <v>0.75</v>
      </c>
      <c r="F36" s="9">
        <f>IF(A36&gt;=Supuestos!$B$14,1,0)</f>
        <v>1</v>
      </c>
      <c r="G36" s="9">
        <f>IF(Supuestos!$B$9*Supuestos!$B$20*E36&gt;0,MAX(Supuestos!$B$25,CEILING(Supuestos!$B$9*Supuestos!$B$20*E36/Supuestos!$B$23,1)+Supuestos!$B$24),Supuestos!$B$25)</f>
        <v>5</v>
      </c>
      <c r="H36" s="9">
        <f>IF(Supuestos!$B$9*Supuestos!$B$21*E36&gt;0,MAX(Supuestos!$B$25,CEILING(Supuestos!$B$9*Supuestos!$B$21*E36/Supuestos!$B$23,1)+Supuestos!$B$24),Supuestos!$B$25)</f>
        <v>2</v>
      </c>
      <c r="I36" s="9">
        <f>F36*Supuestos!$B$40*(G36+H36)*365*Supuestos!$B$48</f>
        <v>247.82634979199997</v>
      </c>
      <c r="J36" s="9">
        <f>F36*Supuestos!$B$40*60*Supuestos!$B$48</f>
        <v>5.8197968639999997</v>
      </c>
      <c r="K36" s="9">
        <f>F36*Supuestos!$B$40*IF(Supuestos!$B$37=0,1,0)*('Precios Azure'!$C$6+MAX(0,Supuestos!$B$46*E36*Supuestos!$B$30/1000000-13)*'Precios Azure'!$C$7)</f>
        <v>0</v>
      </c>
      <c r="L36" s="9">
        <f>F36*Supuestos!$B$40*Supuestos!$B$37*730*'Precios Azure'!$C$8</f>
        <v>434.35173739999993</v>
      </c>
      <c r="M36" s="9">
        <f>F36*Supuestos!$B$40*Supuestos!$B$38*730*'Precios Azure'!$C$9</f>
        <v>449.05647546399996</v>
      </c>
      <c r="N36" s="9">
        <f>F36*Supuestos!$B$40*Supuestos!$B$46*E36*(Supuestos!$B$31/1000*'Precios Azure'!$C$10+Supuestos!$B$32/1000*'Precios Azure'!$C$11)</f>
        <v>185.13744091106287</v>
      </c>
      <c r="O36" s="9">
        <f>F36*Supuestos!$B$40*((Supuestos!$B$46*E36*Supuestos!$B$22*Supuestos!$B$28/1000*Supuestos!$B$29/30.4+Supuestos!$B$46*E36*Supuestos!$B$33/1000000*Supuestos!$B$34)*'Precios Azure'!$C$12+Supuestos!$B$46*E36*Supuestos!$B$35/10000*'Precios Azure'!$C$13)</f>
        <v>110.23234806357711</v>
      </c>
      <c r="P36" s="9">
        <f>F36*Supuestos!$B$40*30.4*'Precios Azure'!$C$5</f>
        <v>3.2490273356799997</v>
      </c>
      <c r="Q36" s="9">
        <f>F36*Supuestos!$B$40*MAX(0,Supuestos!$B$36-5)*'Precios Azure'!$C$14</f>
        <v>101.61550079999999</v>
      </c>
      <c r="R36" s="9">
        <f>F36*Supuestos!$B$39*Supuestos!$B$44</f>
        <v>850</v>
      </c>
      <c r="S36" s="9">
        <f t="shared" si="0"/>
        <v>2387.28867663032</v>
      </c>
      <c r="T36" s="9">
        <f>D36*Supuestos!$B$19*Supuestos!$B$8</f>
        <v>24000</v>
      </c>
      <c r="U36" s="9">
        <f t="shared" si="1"/>
        <v>21612.71132336968</v>
      </c>
      <c r="V36" s="9">
        <f>SUM($U$2:U36)</f>
        <v>546267.39979035058</v>
      </c>
    </row>
    <row r="37" spans="1:22" x14ac:dyDescent="0.25">
      <c r="A37">
        <v>36</v>
      </c>
      <c r="B37" s="9">
        <f>IF(A37=1,Supuestos!$B$11,IF(A37=2,Supuestos!$B$12,IF(A37=3,Supuestos!$B$13,0)))*Supuestos!$B$45</f>
        <v>0</v>
      </c>
      <c r="C37" s="6">
        <f>IF(A37&lt;Supuestos!$B$15,0,IF(A37&gt;=Supuestos!$B$16,1,0.1+0.9*(A37-Supuestos!$B$15)/(Supuestos!$B$16-Supuestos!$B$15)))</f>
        <v>1</v>
      </c>
      <c r="D37" s="9">
        <f>Supuestos!$B$17*Supuestos!$B$18*C37</f>
        <v>1500</v>
      </c>
      <c r="E37" s="6">
        <f>IF(F37=0,0,IF(D37=0,0.05*Supuestos!$B$18,D37/Supuestos!$B$17))</f>
        <v>0.75</v>
      </c>
      <c r="F37" s="9">
        <f>IF(A37&gt;=Supuestos!$B$14,1,0)</f>
        <v>1</v>
      </c>
      <c r="G37" s="9">
        <f>IF(Supuestos!$B$9*Supuestos!$B$20*E37&gt;0,MAX(Supuestos!$B$25,CEILING(Supuestos!$B$9*Supuestos!$B$20*E37/Supuestos!$B$23,1)+Supuestos!$B$24),Supuestos!$B$25)</f>
        <v>5</v>
      </c>
      <c r="H37" s="9">
        <f>IF(Supuestos!$B$9*Supuestos!$B$21*E37&gt;0,MAX(Supuestos!$B$25,CEILING(Supuestos!$B$9*Supuestos!$B$21*E37/Supuestos!$B$23,1)+Supuestos!$B$24),Supuestos!$B$25)</f>
        <v>2</v>
      </c>
      <c r="I37" s="9">
        <f>F37*Supuestos!$B$40*(G37+H37)*365*Supuestos!$B$48</f>
        <v>247.82634979199997</v>
      </c>
      <c r="J37" s="9">
        <f>F37*Supuestos!$B$40*60*Supuestos!$B$48</f>
        <v>5.8197968639999997</v>
      </c>
      <c r="K37" s="9">
        <f>F37*Supuestos!$B$40*IF(Supuestos!$B$37=0,1,0)*('Precios Azure'!$C$6+MAX(0,Supuestos!$B$46*E37*Supuestos!$B$30/1000000-13)*'Precios Azure'!$C$7)</f>
        <v>0</v>
      </c>
      <c r="L37" s="9">
        <f>F37*Supuestos!$B$40*Supuestos!$B$37*730*'Precios Azure'!$C$8</f>
        <v>434.35173739999993</v>
      </c>
      <c r="M37" s="9">
        <f>F37*Supuestos!$B$40*Supuestos!$B$38*730*'Precios Azure'!$C$9</f>
        <v>449.05647546399996</v>
      </c>
      <c r="N37" s="9">
        <f>F37*Supuestos!$B$40*Supuestos!$B$46*E37*(Supuestos!$B$31/1000*'Precios Azure'!$C$10+Supuestos!$B$32/1000*'Precios Azure'!$C$11)</f>
        <v>185.13744091106287</v>
      </c>
      <c r="O37" s="9">
        <f>F37*Supuestos!$B$40*((Supuestos!$B$46*E37*Supuestos!$B$22*Supuestos!$B$28/1000*Supuestos!$B$29/30.4+Supuestos!$B$46*E37*Supuestos!$B$33/1000000*Supuestos!$B$34)*'Precios Azure'!$C$12+Supuestos!$B$46*E37*Supuestos!$B$35/10000*'Precios Azure'!$C$13)</f>
        <v>110.23234806357711</v>
      </c>
      <c r="P37" s="9">
        <f>F37*Supuestos!$B$40*30.4*'Precios Azure'!$C$5</f>
        <v>3.2490273356799997</v>
      </c>
      <c r="Q37" s="9">
        <f>F37*Supuestos!$B$40*MAX(0,Supuestos!$B$36-5)*'Precios Azure'!$C$14</f>
        <v>101.61550079999999</v>
      </c>
      <c r="R37" s="9">
        <f>F37*Supuestos!$B$39*Supuestos!$B$44</f>
        <v>850</v>
      </c>
      <c r="S37" s="9">
        <f t="shared" si="0"/>
        <v>2387.28867663032</v>
      </c>
      <c r="T37" s="9">
        <f>D37*Supuestos!$B$19*Supuestos!$B$8</f>
        <v>24000</v>
      </c>
      <c r="U37" s="9">
        <f t="shared" si="1"/>
        <v>21612.71132336968</v>
      </c>
      <c r="V37" s="9">
        <f>SUM($U$2:U37)</f>
        <v>567880.11111372022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2" width="13" customWidth="1"/>
  </cols>
  <sheetData>
    <row r="1" spans="1:22" ht="45" x14ac:dyDescent="0.25">
      <c r="A1" s="8" t="s">
        <v>157</v>
      </c>
      <c r="B1" s="8" t="s">
        <v>158</v>
      </c>
      <c r="C1" s="8" t="s">
        <v>159</v>
      </c>
      <c r="D1" s="8" t="s">
        <v>160</v>
      </c>
      <c r="E1" s="8" t="s">
        <v>161</v>
      </c>
      <c r="F1" s="8" t="s">
        <v>162</v>
      </c>
      <c r="G1" s="8" t="s">
        <v>163</v>
      </c>
      <c r="H1" s="8" t="s">
        <v>164</v>
      </c>
      <c r="I1" s="8" t="s">
        <v>165</v>
      </c>
      <c r="J1" s="8" t="s">
        <v>166</v>
      </c>
      <c r="K1" s="8" t="s">
        <v>167</v>
      </c>
      <c r="L1" s="8" t="s">
        <v>168</v>
      </c>
      <c r="M1" s="8" t="s">
        <v>169</v>
      </c>
      <c r="N1" s="8" t="s">
        <v>170</v>
      </c>
      <c r="O1" s="8" t="s">
        <v>171</v>
      </c>
      <c r="P1" s="8" t="s">
        <v>172</v>
      </c>
      <c r="Q1" s="8" t="s">
        <v>173</v>
      </c>
      <c r="R1" s="8" t="s">
        <v>174</v>
      </c>
      <c r="S1" s="8" t="s">
        <v>175</v>
      </c>
      <c r="T1" s="8" t="s">
        <v>176</v>
      </c>
      <c r="U1" s="8" t="s">
        <v>177</v>
      </c>
      <c r="V1" s="8" t="s">
        <v>178</v>
      </c>
    </row>
    <row r="2" spans="1:22" x14ac:dyDescent="0.25">
      <c r="A2">
        <v>1</v>
      </c>
      <c r="B2" s="9">
        <f>IF(A2=1,Supuestos!$C$11,IF(A2=2,Supuestos!$C$12,IF(A2=3,Supuestos!$C$13,0)))*Supuestos!$C$45</f>
        <v>22799.626666666667</v>
      </c>
      <c r="C2" s="6">
        <f>IF(A2&lt;Supuestos!$C$15,0,IF(A2&gt;=Supuestos!$C$16,1,0.1+0.9*(A2-Supuestos!$C$15)/(Supuestos!$C$16-Supuestos!$C$15)))</f>
        <v>0</v>
      </c>
      <c r="D2" s="9">
        <f>Supuestos!$C$17*Supuestos!$C$18*C2</f>
        <v>0</v>
      </c>
      <c r="E2" s="6">
        <f>IF(F2=0,0,IF(D2=0,0.05*Supuestos!$C$18,D2/Supuestos!$C$17))</f>
        <v>0</v>
      </c>
      <c r="F2" s="9">
        <f>IF(A2&gt;=Supuestos!$C$14,1,0)</f>
        <v>0</v>
      </c>
      <c r="G2" s="9">
        <f>IF(Supuestos!$C$9*Supuestos!$C$20*E2&gt;0,MAX(Supuestos!$C$25,CEILING(Supuestos!$C$9*Supuestos!$C$20*E2/Supuestos!$C$23,1)+Supuestos!$C$24),Supuestos!$C$25)</f>
        <v>2</v>
      </c>
      <c r="H2" s="9">
        <f>IF(Supuestos!$C$9*Supuestos!$C$21*E2&gt;0,MAX(Supuestos!$C$25,CEILING(Supuestos!$C$9*Supuestos!$C$21*E2/Supuestos!$C$23,1)+Supuestos!$C$24),Supuestos!$C$25)</f>
        <v>2</v>
      </c>
      <c r="I2" s="9">
        <f>F2*Supuestos!$C$40*(G2+H2)*365*Supuestos!$C$48</f>
        <v>0</v>
      </c>
      <c r="J2" s="9">
        <f>F2*Supuestos!$C$40*60*Supuestos!$C$48</f>
        <v>0</v>
      </c>
      <c r="K2" s="9">
        <f>F2*Supuestos!$C$40*IF(Supuestos!$C$37=0,1,0)*('Precios Azure'!$C$6+MAX(0,Supuestos!$C$46*E2*Supuestos!$C$30/1000000-13)*'Precios Azure'!$C$7)</f>
        <v>0</v>
      </c>
      <c r="L2" s="9">
        <f>F2*Supuestos!$C$40*Supuestos!$C$37*730*'Precios Azure'!$C$8</f>
        <v>0</v>
      </c>
      <c r="M2" s="9">
        <f>F2*Supuestos!$C$40*Supuestos!$C$38*730*'Precios Azure'!$C$9</f>
        <v>0</v>
      </c>
      <c r="N2" s="9">
        <f>F2*Supuestos!$C$40*Supuestos!$C$46*E2*(Supuestos!$C$31/1000*'Precios Azure'!$C$10+Supuestos!$C$32/1000*'Precios Azure'!$C$11)</f>
        <v>0</v>
      </c>
      <c r="O2" s="9">
        <f>F2*Supuestos!$C$40*((Supuestos!$C$46*E2*Supuestos!$C$22*Supuestos!$C$28/1000*Supuestos!$C$29/30.4+Supuestos!$C$46*E2*Supuestos!$C$33/1000000*Supuestos!$C$34)*'Precios Azure'!$C$12+Supuestos!$C$46*E2*Supuestos!$C$35/10000*'Precios Azure'!$C$13)</f>
        <v>0</v>
      </c>
      <c r="P2" s="9">
        <f>F2*Supuestos!$C$40*30.4*'Precios Azure'!$C$5</f>
        <v>0</v>
      </c>
      <c r="Q2" s="9">
        <f>F2*Supuestos!$C$40*MAX(0,Supuestos!$C$36-5)*'Precios Azure'!$C$14</f>
        <v>0</v>
      </c>
      <c r="R2" s="9">
        <f>F2*Supuestos!$C$39*Supuestos!$C$44</f>
        <v>0</v>
      </c>
      <c r="S2" s="9">
        <f t="shared" ref="S2:S37" si="0">SUM(I2:R2)</f>
        <v>0</v>
      </c>
      <c r="T2" s="9">
        <f>D2*Supuestos!$C$19*Supuestos!$C$8</f>
        <v>0</v>
      </c>
      <c r="U2" s="9">
        <f t="shared" ref="U2:U37" si="1">T2-S2-B2</f>
        <v>-22799.626666666667</v>
      </c>
      <c r="V2" s="9">
        <f>SUM($U$2:U2)</f>
        <v>-22799.626666666667</v>
      </c>
    </row>
    <row r="3" spans="1:22" x14ac:dyDescent="0.25">
      <c r="A3">
        <v>2</v>
      </c>
      <c r="B3" s="9">
        <f>IF(A3=1,Supuestos!$C$11,IF(A3=2,Supuestos!$C$12,IF(A3=3,Supuestos!$C$13,0)))*Supuestos!$C$45</f>
        <v>28020.373333333333</v>
      </c>
      <c r="C3" s="6">
        <f>IF(A3&lt;Supuestos!$C$15,0,IF(A3&gt;=Supuestos!$C$16,1,0.1+0.9*(A3-Supuestos!$C$15)/(Supuestos!$C$16-Supuestos!$C$15)))</f>
        <v>0</v>
      </c>
      <c r="D3" s="9">
        <f>Supuestos!$C$17*Supuestos!$C$18*C3</f>
        <v>0</v>
      </c>
      <c r="E3" s="6">
        <f>IF(F3=0,0,IF(D3=0,0.05*Supuestos!$C$18,D3/Supuestos!$C$17))</f>
        <v>0</v>
      </c>
      <c r="F3" s="9">
        <f>IF(A3&gt;=Supuestos!$C$14,1,0)</f>
        <v>0</v>
      </c>
      <c r="G3" s="9">
        <f>IF(Supuestos!$C$9*Supuestos!$C$20*E3&gt;0,MAX(Supuestos!$C$25,CEILING(Supuestos!$C$9*Supuestos!$C$20*E3/Supuestos!$C$23,1)+Supuestos!$C$24),Supuestos!$C$25)</f>
        <v>2</v>
      </c>
      <c r="H3" s="9">
        <f>IF(Supuestos!$C$9*Supuestos!$C$21*E3&gt;0,MAX(Supuestos!$C$25,CEILING(Supuestos!$C$9*Supuestos!$C$21*E3/Supuestos!$C$23,1)+Supuestos!$C$24),Supuestos!$C$25)</f>
        <v>2</v>
      </c>
      <c r="I3" s="9">
        <f>F3*Supuestos!$C$40*(G3+H3)*365*Supuestos!$C$48</f>
        <v>0</v>
      </c>
      <c r="J3" s="9">
        <f>F3*Supuestos!$C$40*60*Supuestos!$C$48</f>
        <v>0</v>
      </c>
      <c r="K3" s="9">
        <f>F3*Supuestos!$C$40*IF(Supuestos!$C$37=0,1,0)*('Precios Azure'!$C$6+MAX(0,Supuestos!$C$46*E3*Supuestos!$C$30/1000000-13)*'Precios Azure'!$C$7)</f>
        <v>0</v>
      </c>
      <c r="L3" s="9">
        <f>F3*Supuestos!$C$40*Supuestos!$C$37*730*'Precios Azure'!$C$8</f>
        <v>0</v>
      </c>
      <c r="M3" s="9">
        <f>F3*Supuestos!$C$40*Supuestos!$C$38*730*'Precios Azure'!$C$9</f>
        <v>0</v>
      </c>
      <c r="N3" s="9">
        <f>F3*Supuestos!$C$40*Supuestos!$C$46*E3*(Supuestos!$C$31/1000*'Precios Azure'!$C$10+Supuestos!$C$32/1000*'Precios Azure'!$C$11)</f>
        <v>0</v>
      </c>
      <c r="O3" s="9">
        <f>F3*Supuestos!$C$40*((Supuestos!$C$46*E3*Supuestos!$C$22*Supuestos!$C$28/1000*Supuestos!$C$29/30.4+Supuestos!$C$46*E3*Supuestos!$C$33/1000000*Supuestos!$C$34)*'Precios Azure'!$C$12+Supuestos!$C$46*E3*Supuestos!$C$35/10000*'Precios Azure'!$C$13)</f>
        <v>0</v>
      </c>
      <c r="P3" s="9">
        <f>F3*Supuestos!$C$40*30.4*'Precios Azure'!$C$5</f>
        <v>0</v>
      </c>
      <c r="Q3" s="9">
        <f>F3*Supuestos!$C$40*MAX(0,Supuestos!$C$36-5)*'Precios Azure'!$C$14</f>
        <v>0</v>
      </c>
      <c r="R3" s="9">
        <f>F3*Supuestos!$C$39*Supuestos!$C$44</f>
        <v>0</v>
      </c>
      <c r="S3" s="9">
        <f t="shared" si="0"/>
        <v>0</v>
      </c>
      <c r="T3" s="9">
        <f>D3*Supuestos!$C$19*Supuestos!$C$8</f>
        <v>0</v>
      </c>
      <c r="U3" s="9">
        <f t="shared" si="1"/>
        <v>-28020.373333333333</v>
      </c>
      <c r="V3" s="9">
        <f>SUM($U$2:U3)</f>
        <v>-50820</v>
      </c>
    </row>
    <row r="4" spans="1:22" x14ac:dyDescent="0.25">
      <c r="A4">
        <v>3</v>
      </c>
      <c r="B4" s="9">
        <f>IF(A4=1,Supuestos!$C$11,IF(A4=2,Supuestos!$C$12,IF(A4=3,Supuestos!$C$13,0)))*Supuestos!$C$45</f>
        <v>13713.333333333334</v>
      </c>
      <c r="C4" s="6">
        <f>IF(A4&lt;Supuestos!$C$15,0,IF(A4&gt;=Supuestos!$C$16,1,0.1+0.9*(A4-Supuestos!$C$15)/(Supuestos!$C$16-Supuestos!$C$15)))</f>
        <v>0</v>
      </c>
      <c r="D4" s="9">
        <f>Supuestos!$C$17*Supuestos!$C$18*C4</f>
        <v>0</v>
      </c>
      <c r="E4" s="6">
        <f>IF(F4=0,0,IF(D4=0,0.05*Supuestos!$C$18,D4/Supuestos!$C$17))</f>
        <v>0</v>
      </c>
      <c r="F4" s="9">
        <f>IF(A4&gt;=Supuestos!$C$14,1,0)</f>
        <v>0</v>
      </c>
      <c r="G4" s="9">
        <f>IF(Supuestos!$C$9*Supuestos!$C$20*E4&gt;0,MAX(Supuestos!$C$25,CEILING(Supuestos!$C$9*Supuestos!$C$20*E4/Supuestos!$C$23,1)+Supuestos!$C$24),Supuestos!$C$25)</f>
        <v>2</v>
      </c>
      <c r="H4" s="9">
        <f>IF(Supuestos!$C$9*Supuestos!$C$21*E4&gt;0,MAX(Supuestos!$C$25,CEILING(Supuestos!$C$9*Supuestos!$C$21*E4/Supuestos!$C$23,1)+Supuestos!$C$24),Supuestos!$C$25)</f>
        <v>2</v>
      </c>
      <c r="I4" s="9">
        <f>F4*Supuestos!$C$40*(G4+H4)*365*Supuestos!$C$48</f>
        <v>0</v>
      </c>
      <c r="J4" s="9">
        <f>F4*Supuestos!$C$40*60*Supuestos!$C$48</f>
        <v>0</v>
      </c>
      <c r="K4" s="9">
        <f>F4*Supuestos!$C$40*IF(Supuestos!$C$37=0,1,0)*('Precios Azure'!$C$6+MAX(0,Supuestos!$C$46*E4*Supuestos!$C$30/1000000-13)*'Precios Azure'!$C$7)</f>
        <v>0</v>
      </c>
      <c r="L4" s="9">
        <f>F4*Supuestos!$C$40*Supuestos!$C$37*730*'Precios Azure'!$C$8</f>
        <v>0</v>
      </c>
      <c r="M4" s="9">
        <f>F4*Supuestos!$C$40*Supuestos!$C$38*730*'Precios Azure'!$C$9</f>
        <v>0</v>
      </c>
      <c r="N4" s="9">
        <f>F4*Supuestos!$C$40*Supuestos!$C$46*E4*(Supuestos!$C$31/1000*'Precios Azure'!$C$10+Supuestos!$C$32/1000*'Precios Azure'!$C$11)</f>
        <v>0</v>
      </c>
      <c r="O4" s="9">
        <f>F4*Supuestos!$C$40*((Supuestos!$C$46*E4*Supuestos!$C$22*Supuestos!$C$28/1000*Supuestos!$C$29/30.4+Supuestos!$C$46*E4*Supuestos!$C$33/1000000*Supuestos!$C$34)*'Precios Azure'!$C$12+Supuestos!$C$46*E4*Supuestos!$C$35/10000*'Precios Azure'!$C$13)</f>
        <v>0</v>
      </c>
      <c r="P4" s="9">
        <f>F4*Supuestos!$C$40*30.4*'Precios Azure'!$C$5</f>
        <v>0</v>
      </c>
      <c r="Q4" s="9">
        <f>F4*Supuestos!$C$40*MAX(0,Supuestos!$C$36-5)*'Precios Azure'!$C$14</f>
        <v>0</v>
      </c>
      <c r="R4" s="9">
        <f>F4*Supuestos!$C$39*Supuestos!$C$44</f>
        <v>0</v>
      </c>
      <c r="S4" s="9">
        <f t="shared" si="0"/>
        <v>0</v>
      </c>
      <c r="T4" s="9">
        <f>D4*Supuestos!$C$19*Supuestos!$C$8</f>
        <v>0</v>
      </c>
      <c r="U4" s="9">
        <f t="shared" si="1"/>
        <v>-13713.333333333334</v>
      </c>
      <c r="V4" s="9">
        <f>SUM($U$2:U4)</f>
        <v>-64533.333333333336</v>
      </c>
    </row>
    <row r="5" spans="1:22" x14ac:dyDescent="0.25">
      <c r="A5">
        <v>4</v>
      </c>
      <c r="B5" s="9">
        <f>IF(A5=1,Supuestos!$C$11,IF(A5=2,Supuestos!$C$12,IF(A5=3,Supuestos!$C$13,0)))*Supuestos!$C$45</f>
        <v>0</v>
      </c>
      <c r="C5" s="6">
        <f>IF(A5&lt;Supuestos!$C$15,0,IF(A5&gt;=Supuestos!$C$16,1,0.1+0.9*(A5-Supuestos!$C$15)/(Supuestos!$C$16-Supuestos!$C$15)))</f>
        <v>0.1</v>
      </c>
      <c r="D5" s="9">
        <f>Supuestos!$C$17*Supuestos!$C$18*C5</f>
        <v>120</v>
      </c>
      <c r="E5" s="6">
        <f>IF(F5=0,0,IF(D5=0,0.05*Supuestos!$C$18,D5/Supuestos!$C$17))</f>
        <v>0.06</v>
      </c>
      <c r="F5" s="9">
        <f>IF(A5&gt;=Supuestos!$C$14,1,0)</f>
        <v>1</v>
      </c>
      <c r="G5" s="9">
        <f>IF(Supuestos!$C$9*Supuestos!$C$20*E5&gt;0,MAX(Supuestos!$C$25,CEILING(Supuestos!$C$9*Supuestos!$C$20*E5/Supuestos!$C$23,1)+Supuestos!$C$24),Supuestos!$C$25)</f>
        <v>2</v>
      </c>
      <c r="H5" s="9">
        <f>IF(Supuestos!$C$9*Supuestos!$C$21*E5&gt;0,MAX(Supuestos!$C$25,CEILING(Supuestos!$C$9*Supuestos!$C$21*E5/Supuestos!$C$23,1)+Supuestos!$C$24),Supuestos!$C$25)</f>
        <v>2</v>
      </c>
      <c r="I5" s="9">
        <f>F5*Supuestos!$C$40*(G5+H5)*365*Supuestos!$C$48</f>
        <v>166.60594943999999</v>
      </c>
      <c r="J5" s="9">
        <f>F5*Supuestos!$C$40*60*Supuestos!$C$48</f>
        <v>6.8468198399999993</v>
      </c>
      <c r="K5" s="9">
        <f>F5*Supuestos!$C$40*IF(Supuestos!$C$37=0,1,0)*('Precios Azure'!$C$6+MAX(0,Supuestos!$C$46*E5*Supuestos!$C$30/1000000-13)*'Precios Azure'!$C$7)</f>
        <v>0</v>
      </c>
      <c r="L5" s="9">
        <f>F5*Supuestos!$C$40*Supuestos!$C$37*730*'Precios Azure'!$C$8</f>
        <v>511.00204399999996</v>
      </c>
      <c r="M5" s="9">
        <f>F5*Supuestos!$C$40*Supuestos!$C$38*730*'Precios Azure'!$C$9</f>
        <v>528.30173583999999</v>
      </c>
      <c r="N5" s="9">
        <f>F5*Supuestos!$C$40*Supuestos!$C$46*E5*(Supuestos!$C$31/1000*'Precios Azure'!$C$10+Supuestos!$C$32/1000*'Precios Azure'!$C$11)</f>
        <v>17.424700321041207</v>
      </c>
      <c r="O5" s="9">
        <f>F5*Supuestos!$C$40*((Supuestos!$C$46*E5*Supuestos!$C$22*Supuestos!$C$28/1000*Supuestos!$C$29/30.4+Supuestos!$C$46*E5*Supuestos!$C$33/1000000*Supuestos!$C$34)*'Precios Azure'!$C$12+Supuestos!$C$46*E5*Supuestos!$C$35/10000*'Precios Azure'!$C$13)</f>
        <v>10.37480922951314</v>
      </c>
      <c r="P5" s="9">
        <f>F5*Supuestos!$C$40*30.4*'Precios Azure'!$C$5</f>
        <v>3.8223851007999996</v>
      </c>
      <c r="Q5" s="9">
        <f>F5*Supuestos!$C$40*MAX(0,Supuestos!$C$36-5)*'Precios Azure'!$C$14</f>
        <v>119.547648</v>
      </c>
      <c r="R5" s="9">
        <f>F5*Supuestos!$C$39*Supuestos!$C$44</f>
        <v>1466.6666666666665</v>
      </c>
      <c r="S5" s="9">
        <f t="shared" si="0"/>
        <v>2830.5927584380206</v>
      </c>
      <c r="T5" s="9">
        <f>D5*Supuestos!$C$19*Supuestos!$C$8</f>
        <v>1440</v>
      </c>
      <c r="U5" s="9">
        <f t="shared" si="1"/>
        <v>-1390.5927584380206</v>
      </c>
      <c r="V5" s="9">
        <f>SUM($U$2:U5)</f>
        <v>-65923.926091771355</v>
      </c>
    </row>
    <row r="6" spans="1:22" x14ac:dyDescent="0.25">
      <c r="A6">
        <v>5</v>
      </c>
      <c r="B6" s="9">
        <f>IF(A6=1,Supuestos!$C$11,IF(A6=2,Supuestos!$C$12,IF(A6=3,Supuestos!$C$13,0)))*Supuestos!$C$45</f>
        <v>0</v>
      </c>
      <c r="C6" s="6">
        <f>IF(A6&lt;Supuestos!$C$15,0,IF(A6&gt;=Supuestos!$C$16,1,0.1+0.9*(A6-Supuestos!$C$15)/(Supuestos!$C$16-Supuestos!$C$15)))</f>
        <v>0.18181818181818182</v>
      </c>
      <c r="D6" s="9">
        <f>Supuestos!$C$17*Supuestos!$C$18*C6</f>
        <v>218.18181818181819</v>
      </c>
      <c r="E6" s="6">
        <f>IF(F6=0,0,IF(D6=0,0.05*Supuestos!$C$18,D6/Supuestos!$C$17))</f>
        <v>0.1090909090909091</v>
      </c>
      <c r="F6" s="9">
        <f>IF(A6&gt;=Supuestos!$C$14,1,0)</f>
        <v>1</v>
      </c>
      <c r="G6" s="9">
        <f>IF(Supuestos!$C$9*Supuestos!$C$20*E6&gt;0,MAX(Supuestos!$C$25,CEILING(Supuestos!$C$9*Supuestos!$C$20*E6/Supuestos!$C$23,1)+Supuestos!$C$24),Supuestos!$C$25)</f>
        <v>2</v>
      </c>
      <c r="H6" s="9">
        <f>IF(Supuestos!$C$9*Supuestos!$C$21*E6&gt;0,MAX(Supuestos!$C$25,CEILING(Supuestos!$C$9*Supuestos!$C$21*E6/Supuestos!$C$23,1)+Supuestos!$C$24),Supuestos!$C$25)</f>
        <v>2</v>
      </c>
      <c r="I6" s="9">
        <f>F6*Supuestos!$C$40*(G6+H6)*365*Supuestos!$C$48</f>
        <v>166.60594943999999</v>
      </c>
      <c r="J6" s="9">
        <f>F6*Supuestos!$C$40*60*Supuestos!$C$48</f>
        <v>6.8468198399999993</v>
      </c>
      <c r="K6" s="9">
        <f>F6*Supuestos!$C$40*IF(Supuestos!$C$37=0,1,0)*('Precios Azure'!$C$6+MAX(0,Supuestos!$C$46*E6*Supuestos!$C$30/1000000-13)*'Precios Azure'!$C$7)</f>
        <v>0</v>
      </c>
      <c r="L6" s="9">
        <f>F6*Supuestos!$C$40*Supuestos!$C$37*730*'Precios Azure'!$C$8</f>
        <v>511.00204399999996</v>
      </c>
      <c r="M6" s="9">
        <f>F6*Supuestos!$C$40*Supuestos!$C$38*730*'Precios Azure'!$C$9</f>
        <v>528.30173583999999</v>
      </c>
      <c r="N6" s="9">
        <f>F6*Supuestos!$C$40*Supuestos!$C$46*E6*(Supuestos!$C$31/1000*'Precios Azure'!$C$10+Supuestos!$C$32/1000*'Precios Azure'!$C$11)</f>
        <v>31.681273310984022</v>
      </c>
      <c r="O6" s="9">
        <f>F6*Supuestos!$C$40*((Supuestos!$C$46*E6*Supuestos!$C$22*Supuestos!$C$28/1000*Supuestos!$C$29/30.4+Supuestos!$C$46*E6*Supuestos!$C$33/1000000*Supuestos!$C$34)*'Precios Azure'!$C$12+Supuestos!$C$46*E6*Supuestos!$C$35/10000*'Precios Azure'!$C$13)</f>
        <v>18.86328950820571</v>
      </c>
      <c r="P6" s="9">
        <f>F6*Supuestos!$C$40*30.4*'Precios Azure'!$C$5</f>
        <v>3.8223851007999996</v>
      </c>
      <c r="Q6" s="9">
        <f>F6*Supuestos!$C$40*MAX(0,Supuestos!$C$36-5)*'Precios Azure'!$C$14</f>
        <v>119.547648</v>
      </c>
      <c r="R6" s="9">
        <f>F6*Supuestos!$C$39*Supuestos!$C$44</f>
        <v>1466.6666666666665</v>
      </c>
      <c r="S6" s="9">
        <f t="shared" si="0"/>
        <v>2853.3378117066559</v>
      </c>
      <c r="T6" s="9">
        <f>D6*Supuestos!$C$19*Supuestos!$C$8</f>
        <v>2618.1818181818185</v>
      </c>
      <c r="U6" s="9">
        <f t="shared" si="1"/>
        <v>-235.15599352483741</v>
      </c>
      <c r="V6" s="9">
        <f>SUM($U$2:U6)</f>
        <v>-66159.082085296192</v>
      </c>
    </row>
    <row r="7" spans="1:22" x14ac:dyDescent="0.25">
      <c r="A7">
        <v>6</v>
      </c>
      <c r="B7" s="9">
        <f>IF(A7=1,Supuestos!$C$11,IF(A7=2,Supuestos!$C$12,IF(A7=3,Supuestos!$C$13,0)))*Supuestos!$C$45</f>
        <v>0</v>
      </c>
      <c r="C7" s="6">
        <f>IF(A7&lt;Supuestos!$C$15,0,IF(A7&gt;=Supuestos!$C$16,1,0.1+0.9*(A7-Supuestos!$C$15)/(Supuestos!$C$16-Supuestos!$C$15)))</f>
        <v>0.26363636363636367</v>
      </c>
      <c r="D7" s="9">
        <f>Supuestos!$C$17*Supuestos!$C$18*C7</f>
        <v>316.36363636363637</v>
      </c>
      <c r="E7" s="6">
        <f>IF(F7=0,0,IF(D7=0,0.05*Supuestos!$C$18,D7/Supuestos!$C$17))</f>
        <v>0.15818181818181817</v>
      </c>
      <c r="F7" s="9">
        <f>IF(A7&gt;=Supuestos!$C$14,1,0)</f>
        <v>1</v>
      </c>
      <c r="G7" s="9">
        <f>IF(Supuestos!$C$9*Supuestos!$C$20*E7&gt;0,MAX(Supuestos!$C$25,CEILING(Supuestos!$C$9*Supuestos!$C$20*E7/Supuestos!$C$23,1)+Supuestos!$C$24),Supuestos!$C$25)</f>
        <v>2</v>
      </c>
      <c r="H7" s="9">
        <f>IF(Supuestos!$C$9*Supuestos!$C$21*E7&gt;0,MAX(Supuestos!$C$25,CEILING(Supuestos!$C$9*Supuestos!$C$21*E7/Supuestos!$C$23,1)+Supuestos!$C$24),Supuestos!$C$25)</f>
        <v>2</v>
      </c>
      <c r="I7" s="9">
        <f>F7*Supuestos!$C$40*(G7+H7)*365*Supuestos!$C$48</f>
        <v>166.60594943999999</v>
      </c>
      <c r="J7" s="9">
        <f>F7*Supuestos!$C$40*60*Supuestos!$C$48</f>
        <v>6.8468198399999993</v>
      </c>
      <c r="K7" s="9">
        <f>F7*Supuestos!$C$40*IF(Supuestos!$C$37=0,1,0)*('Precios Azure'!$C$6+MAX(0,Supuestos!$C$46*E7*Supuestos!$C$30/1000000-13)*'Precios Azure'!$C$7)</f>
        <v>0</v>
      </c>
      <c r="L7" s="9">
        <f>F7*Supuestos!$C$40*Supuestos!$C$37*730*'Precios Azure'!$C$8</f>
        <v>511.00204399999996</v>
      </c>
      <c r="M7" s="9">
        <f>F7*Supuestos!$C$40*Supuestos!$C$38*730*'Precios Azure'!$C$9</f>
        <v>528.30173583999999</v>
      </c>
      <c r="N7" s="9">
        <f>F7*Supuestos!$C$40*Supuestos!$C$46*E7*(Supuestos!$C$31/1000*'Precios Azure'!$C$10+Supuestos!$C$32/1000*'Precios Azure'!$C$11)</f>
        <v>45.937846300926829</v>
      </c>
      <c r="O7" s="9">
        <f>F7*Supuestos!$C$40*((Supuestos!$C$46*E7*Supuestos!$C$22*Supuestos!$C$28/1000*Supuestos!$C$29/30.4+Supuestos!$C$46*E7*Supuestos!$C$33/1000000*Supuestos!$C$34)*'Precios Azure'!$C$12+Supuestos!$C$46*E7*Supuestos!$C$35/10000*'Precios Azure'!$C$13)</f>
        <v>27.351769786898274</v>
      </c>
      <c r="P7" s="9">
        <f>F7*Supuestos!$C$40*30.4*'Precios Azure'!$C$5</f>
        <v>3.8223851007999996</v>
      </c>
      <c r="Q7" s="9">
        <f>F7*Supuestos!$C$40*MAX(0,Supuestos!$C$36-5)*'Precios Azure'!$C$14</f>
        <v>119.547648</v>
      </c>
      <c r="R7" s="9">
        <f>F7*Supuestos!$C$39*Supuestos!$C$44</f>
        <v>1466.6666666666665</v>
      </c>
      <c r="S7" s="9">
        <f t="shared" si="0"/>
        <v>2876.0828649752912</v>
      </c>
      <c r="T7" s="9">
        <f>D7*Supuestos!$C$19*Supuestos!$C$8</f>
        <v>3796.3636363636369</v>
      </c>
      <c r="U7" s="9">
        <f t="shared" si="1"/>
        <v>920.28077138834578</v>
      </c>
      <c r="V7" s="9">
        <f>SUM($U$2:U7)</f>
        <v>-65238.801313907847</v>
      </c>
    </row>
    <row r="8" spans="1:22" x14ac:dyDescent="0.25">
      <c r="A8">
        <v>7</v>
      </c>
      <c r="B8" s="9">
        <f>IF(A8=1,Supuestos!$C$11,IF(A8=2,Supuestos!$C$12,IF(A8=3,Supuestos!$C$13,0)))*Supuestos!$C$45</f>
        <v>0</v>
      </c>
      <c r="C8" s="6">
        <f>IF(A8&lt;Supuestos!$C$15,0,IF(A8&gt;=Supuestos!$C$16,1,0.1+0.9*(A8-Supuestos!$C$15)/(Supuestos!$C$16-Supuestos!$C$15)))</f>
        <v>0.34545454545454546</v>
      </c>
      <c r="D8" s="9">
        <f>Supuestos!$C$17*Supuestos!$C$18*C8</f>
        <v>414.54545454545456</v>
      </c>
      <c r="E8" s="6">
        <f>IF(F8=0,0,IF(D8=0,0.05*Supuestos!$C$18,D8/Supuestos!$C$17))</f>
        <v>0.20727272727272728</v>
      </c>
      <c r="F8" s="9">
        <f>IF(A8&gt;=Supuestos!$C$14,1,0)</f>
        <v>1</v>
      </c>
      <c r="G8" s="9">
        <f>IF(Supuestos!$C$9*Supuestos!$C$20*E8&gt;0,MAX(Supuestos!$C$25,CEILING(Supuestos!$C$9*Supuestos!$C$20*E8/Supuestos!$C$23,1)+Supuestos!$C$24),Supuestos!$C$25)</f>
        <v>2</v>
      </c>
      <c r="H8" s="9">
        <f>IF(Supuestos!$C$9*Supuestos!$C$21*E8&gt;0,MAX(Supuestos!$C$25,CEILING(Supuestos!$C$9*Supuestos!$C$21*E8/Supuestos!$C$23,1)+Supuestos!$C$24),Supuestos!$C$25)</f>
        <v>2</v>
      </c>
      <c r="I8" s="9">
        <f>F8*Supuestos!$C$40*(G8+H8)*365*Supuestos!$C$48</f>
        <v>166.60594943999999</v>
      </c>
      <c r="J8" s="9">
        <f>F8*Supuestos!$C$40*60*Supuestos!$C$48</f>
        <v>6.8468198399999993</v>
      </c>
      <c r="K8" s="9">
        <f>F8*Supuestos!$C$40*IF(Supuestos!$C$37=0,1,0)*('Precios Azure'!$C$6+MAX(0,Supuestos!$C$46*E8*Supuestos!$C$30/1000000-13)*'Precios Azure'!$C$7)</f>
        <v>0</v>
      </c>
      <c r="L8" s="9">
        <f>F8*Supuestos!$C$40*Supuestos!$C$37*730*'Precios Azure'!$C$8</f>
        <v>511.00204399999996</v>
      </c>
      <c r="M8" s="9">
        <f>F8*Supuestos!$C$40*Supuestos!$C$38*730*'Precios Azure'!$C$9</f>
        <v>528.30173583999999</v>
      </c>
      <c r="N8" s="9">
        <f>F8*Supuestos!$C$40*Supuestos!$C$46*E8*(Supuestos!$C$31/1000*'Precios Azure'!$C$10+Supuestos!$C$32/1000*'Precios Azure'!$C$11)</f>
        <v>60.194419290869632</v>
      </c>
      <c r="O8" s="9">
        <f>F8*Supuestos!$C$40*((Supuestos!$C$46*E8*Supuestos!$C$22*Supuestos!$C$28/1000*Supuestos!$C$29/30.4+Supuestos!$C$46*E8*Supuestos!$C$33/1000000*Supuestos!$C$34)*'Precios Azure'!$C$12+Supuestos!$C$46*E8*Supuestos!$C$35/10000*'Precios Azure'!$C$13)</f>
        <v>35.840250065590837</v>
      </c>
      <c r="P8" s="9">
        <f>F8*Supuestos!$C$40*30.4*'Precios Azure'!$C$5</f>
        <v>3.8223851007999996</v>
      </c>
      <c r="Q8" s="9">
        <f>F8*Supuestos!$C$40*MAX(0,Supuestos!$C$36-5)*'Precios Azure'!$C$14</f>
        <v>119.547648</v>
      </c>
      <c r="R8" s="9">
        <f>F8*Supuestos!$C$39*Supuestos!$C$44</f>
        <v>1466.6666666666665</v>
      </c>
      <c r="S8" s="9">
        <f t="shared" si="0"/>
        <v>2898.8279182439264</v>
      </c>
      <c r="T8" s="9">
        <f>D8*Supuestos!$C$19*Supuestos!$C$8</f>
        <v>4974.545454545455</v>
      </c>
      <c r="U8" s="9">
        <f t="shared" si="1"/>
        <v>2075.7175363015285</v>
      </c>
      <c r="V8" s="9">
        <f>SUM($U$2:U8)</f>
        <v>-63163.08377760632</v>
      </c>
    </row>
    <row r="9" spans="1:22" x14ac:dyDescent="0.25">
      <c r="A9">
        <v>8</v>
      </c>
      <c r="B9" s="9">
        <f>IF(A9=1,Supuestos!$C$11,IF(A9=2,Supuestos!$C$12,IF(A9=3,Supuestos!$C$13,0)))*Supuestos!$C$45</f>
        <v>0</v>
      </c>
      <c r="C9" s="6">
        <f>IF(A9&lt;Supuestos!$C$15,0,IF(A9&gt;=Supuestos!$C$16,1,0.1+0.9*(A9-Supuestos!$C$15)/(Supuestos!$C$16-Supuestos!$C$15)))</f>
        <v>0.42727272727272725</v>
      </c>
      <c r="D9" s="9">
        <f>Supuestos!$C$17*Supuestos!$C$18*C9</f>
        <v>512.72727272727275</v>
      </c>
      <c r="E9" s="6">
        <f>IF(F9=0,0,IF(D9=0,0.05*Supuestos!$C$18,D9/Supuestos!$C$17))</f>
        <v>0.25636363636363635</v>
      </c>
      <c r="F9" s="9">
        <f>IF(A9&gt;=Supuestos!$C$14,1,0)</f>
        <v>1</v>
      </c>
      <c r="G9" s="9">
        <f>IF(Supuestos!$C$9*Supuestos!$C$20*E9&gt;0,MAX(Supuestos!$C$25,CEILING(Supuestos!$C$9*Supuestos!$C$20*E9/Supuestos!$C$23,1)+Supuestos!$C$24),Supuestos!$C$25)</f>
        <v>3</v>
      </c>
      <c r="H9" s="9">
        <f>IF(Supuestos!$C$9*Supuestos!$C$21*E9&gt;0,MAX(Supuestos!$C$25,CEILING(Supuestos!$C$9*Supuestos!$C$21*E9/Supuestos!$C$23,1)+Supuestos!$C$24),Supuestos!$C$25)</f>
        <v>2</v>
      </c>
      <c r="I9" s="9">
        <f>F9*Supuestos!$C$40*(G9+H9)*365*Supuestos!$C$48</f>
        <v>208.25743679999999</v>
      </c>
      <c r="J9" s="9">
        <f>F9*Supuestos!$C$40*60*Supuestos!$C$48</f>
        <v>6.8468198399999993</v>
      </c>
      <c r="K9" s="9">
        <f>F9*Supuestos!$C$40*IF(Supuestos!$C$37=0,1,0)*('Precios Azure'!$C$6+MAX(0,Supuestos!$C$46*E9*Supuestos!$C$30/1000000-13)*'Precios Azure'!$C$7)</f>
        <v>0</v>
      </c>
      <c r="L9" s="9">
        <f>F9*Supuestos!$C$40*Supuestos!$C$37*730*'Precios Azure'!$C$8</f>
        <v>511.00204399999996</v>
      </c>
      <c r="M9" s="9">
        <f>F9*Supuestos!$C$40*Supuestos!$C$38*730*'Precios Azure'!$C$9</f>
        <v>528.30173583999999</v>
      </c>
      <c r="N9" s="9">
        <f>F9*Supuestos!$C$40*Supuestos!$C$46*E9*(Supuestos!$C$31/1000*'Precios Azure'!$C$10+Supuestos!$C$32/1000*'Precios Azure'!$C$11)</f>
        <v>74.450992280812443</v>
      </c>
      <c r="O9" s="9">
        <f>F9*Supuestos!$C$40*((Supuestos!$C$46*E9*Supuestos!$C$22*Supuestos!$C$28/1000*Supuestos!$C$29/30.4+Supuestos!$C$46*E9*Supuestos!$C$33/1000000*Supuestos!$C$34)*'Precios Azure'!$C$12+Supuestos!$C$46*E9*Supuestos!$C$35/10000*'Precios Azure'!$C$13)</f>
        <v>44.328730344283414</v>
      </c>
      <c r="P9" s="9">
        <f>F9*Supuestos!$C$40*30.4*'Precios Azure'!$C$5</f>
        <v>3.8223851007999996</v>
      </c>
      <c r="Q9" s="9">
        <f>F9*Supuestos!$C$40*MAX(0,Supuestos!$C$36-5)*'Precios Azure'!$C$14</f>
        <v>119.547648</v>
      </c>
      <c r="R9" s="9">
        <f>F9*Supuestos!$C$39*Supuestos!$C$44</f>
        <v>1466.6666666666665</v>
      </c>
      <c r="S9" s="9">
        <f t="shared" si="0"/>
        <v>2963.2244588725625</v>
      </c>
      <c r="T9" s="9">
        <f>D9*Supuestos!$C$19*Supuestos!$C$8</f>
        <v>6152.727272727273</v>
      </c>
      <c r="U9" s="9">
        <f t="shared" si="1"/>
        <v>3189.5028138547104</v>
      </c>
      <c r="V9" s="9">
        <f>SUM($U$2:U9)</f>
        <v>-59973.580963751607</v>
      </c>
    </row>
    <row r="10" spans="1:22" x14ac:dyDescent="0.25">
      <c r="A10">
        <v>9</v>
      </c>
      <c r="B10" s="9">
        <f>IF(A10=1,Supuestos!$C$11,IF(A10=2,Supuestos!$C$12,IF(A10=3,Supuestos!$C$13,0)))*Supuestos!$C$45</f>
        <v>0</v>
      </c>
      <c r="C10" s="6">
        <f>IF(A10&lt;Supuestos!$C$15,0,IF(A10&gt;=Supuestos!$C$16,1,0.1+0.9*(A10-Supuestos!$C$15)/(Supuestos!$C$16-Supuestos!$C$15)))</f>
        <v>0.50909090909090915</v>
      </c>
      <c r="D10" s="9">
        <f>Supuestos!$C$17*Supuestos!$C$18*C10</f>
        <v>610.90909090909099</v>
      </c>
      <c r="E10" s="6">
        <f>IF(F10=0,0,IF(D10=0,0.05*Supuestos!$C$18,D10/Supuestos!$C$17))</f>
        <v>0.30545454545454548</v>
      </c>
      <c r="F10" s="9">
        <f>IF(A10&gt;=Supuestos!$C$14,1,0)</f>
        <v>1</v>
      </c>
      <c r="G10" s="9">
        <f>IF(Supuestos!$C$9*Supuestos!$C$20*E10&gt;0,MAX(Supuestos!$C$25,CEILING(Supuestos!$C$9*Supuestos!$C$20*E10/Supuestos!$C$23,1)+Supuestos!$C$24),Supuestos!$C$25)</f>
        <v>3</v>
      </c>
      <c r="H10" s="9">
        <f>IF(Supuestos!$C$9*Supuestos!$C$21*E10&gt;0,MAX(Supuestos!$C$25,CEILING(Supuestos!$C$9*Supuestos!$C$21*E10/Supuestos!$C$23,1)+Supuestos!$C$24),Supuestos!$C$25)</f>
        <v>2</v>
      </c>
      <c r="I10" s="9">
        <f>F10*Supuestos!$C$40*(G10+H10)*365*Supuestos!$C$48</f>
        <v>208.25743679999999</v>
      </c>
      <c r="J10" s="9">
        <f>F10*Supuestos!$C$40*60*Supuestos!$C$48</f>
        <v>6.8468198399999993</v>
      </c>
      <c r="K10" s="9">
        <f>F10*Supuestos!$C$40*IF(Supuestos!$C$37=0,1,0)*('Precios Azure'!$C$6+MAX(0,Supuestos!$C$46*E10*Supuestos!$C$30/1000000-13)*'Precios Azure'!$C$7)</f>
        <v>0</v>
      </c>
      <c r="L10" s="9">
        <f>F10*Supuestos!$C$40*Supuestos!$C$37*730*'Precios Azure'!$C$8</f>
        <v>511.00204399999996</v>
      </c>
      <c r="M10" s="9">
        <f>F10*Supuestos!$C$40*Supuestos!$C$38*730*'Precios Azure'!$C$9</f>
        <v>528.30173583999999</v>
      </c>
      <c r="N10" s="9">
        <f>F10*Supuestos!$C$40*Supuestos!$C$46*E10*(Supuestos!$C$31/1000*'Precios Azure'!$C$10+Supuestos!$C$32/1000*'Precios Azure'!$C$11)</f>
        <v>88.707565270755254</v>
      </c>
      <c r="O10" s="9">
        <f>F10*Supuestos!$C$40*((Supuestos!$C$46*E10*Supuestos!$C$22*Supuestos!$C$28/1000*Supuestos!$C$29/30.4+Supuestos!$C$46*E10*Supuestos!$C$33/1000000*Supuestos!$C$34)*'Precios Azure'!$C$12+Supuestos!$C$46*E10*Supuestos!$C$35/10000*'Precios Azure'!$C$13)</f>
        <v>52.817210622975985</v>
      </c>
      <c r="P10" s="9">
        <f>F10*Supuestos!$C$40*30.4*'Precios Azure'!$C$5</f>
        <v>3.8223851007999996</v>
      </c>
      <c r="Q10" s="9">
        <f>F10*Supuestos!$C$40*MAX(0,Supuestos!$C$36-5)*'Precios Azure'!$C$14</f>
        <v>119.547648</v>
      </c>
      <c r="R10" s="9">
        <f>F10*Supuestos!$C$39*Supuestos!$C$44</f>
        <v>1466.6666666666665</v>
      </c>
      <c r="S10" s="9">
        <f t="shared" si="0"/>
        <v>2985.9695121411978</v>
      </c>
      <c r="T10" s="9">
        <f>D10*Supuestos!$C$19*Supuestos!$C$8</f>
        <v>7330.9090909090919</v>
      </c>
      <c r="U10" s="9">
        <f t="shared" si="1"/>
        <v>4344.9395787678941</v>
      </c>
      <c r="V10" s="9">
        <f>SUM($U$2:U10)</f>
        <v>-55628.641384983712</v>
      </c>
    </row>
    <row r="11" spans="1:22" x14ac:dyDescent="0.25">
      <c r="A11">
        <v>10</v>
      </c>
      <c r="B11" s="9">
        <f>IF(A11=1,Supuestos!$C$11,IF(A11=2,Supuestos!$C$12,IF(A11=3,Supuestos!$C$13,0)))*Supuestos!$C$45</f>
        <v>0</v>
      </c>
      <c r="C11" s="6">
        <f>IF(A11&lt;Supuestos!$C$15,0,IF(A11&gt;=Supuestos!$C$16,1,0.1+0.9*(A11-Supuestos!$C$15)/(Supuestos!$C$16-Supuestos!$C$15)))</f>
        <v>0.59090909090909094</v>
      </c>
      <c r="D11" s="9">
        <f>Supuestos!$C$17*Supuestos!$C$18*C11</f>
        <v>709.09090909090912</v>
      </c>
      <c r="E11" s="6">
        <f>IF(F11=0,0,IF(D11=0,0.05*Supuestos!$C$18,D11/Supuestos!$C$17))</f>
        <v>0.35454545454545455</v>
      </c>
      <c r="F11" s="9">
        <f>IF(A11&gt;=Supuestos!$C$14,1,0)</f>
        <v>1</v>
      </c>
      <c r="G11" s="9">
        <f>IF(Supuestos!$C$9*Supuestos!$C$20*E11&gt;0,MAX(Supuestos!$C$25,CEILING(Supuestos!$C$9*Supuestos!$C$20*E11/Supuestos!$C$23,1)+Supuestos!$C$24),Supuestos!$C$25)</f>
        <v>3</v>
      </c>
      <c r="H11" s="9">
        <f>IF(Supuestos!$C$9*Supuestos!$C$21*E11&gt;0,MAX(Supuestos!$C$25,CEILING(Supuestos!$C$9*Supuestos!$C$21*E11/Supuestos!$C$23,1)+Supuestos!$C$24),Supuestos!$C$25)</f>
        <v>2</v>
      </c>
      <c r="I11" s="9">
        <f>F11*Supuestos!$C$40*(G11+H11)*365*Supuestos!$C$48</f>
        <v>208.25743679999999</v>
      </c>
      <c r="J11" s="9">
        <f>F11*Supuestos!$C$40*60*Supuestos!$C$48</f>
        <v>6.8468198399999993</v>
      </c>
      <c r="K11" s="9">
        <f>F11*Supuestos!$C$40*IF(Supuestos!$C$37=0,1,0)*('Precios Azure'!$C$6+MAX(0,Supuestos!$C$46*E11*Supuestos!$C$30/1000000-13)*'Precios Azure'!$C$7)</f>
        <v>0</v>
      </c>
      <c r="L11" s="9">
        <f>F11*Supuestos!$C$40*Supuestos!$C$37*730*'Precios Azure'!$C$8</f>
        <v>511.00204399999996</v>
      </c>
      <c r="M11" s="9">
        <f>F11*Supuestos!$C$40*Supuestos!$C$38*730*'Precios Azure'!$C$9</f>
        <v>528.30173583999999</v>
      </c>
      <c r="N11" s="9">
        <f>F11*Supuestos!$C$40*Supuestos!$C$46*E11*(Supuestos!$C$31/1000*'Precios Azure'!$C$10+Supuestos!$C$32/1000*'Precios Azure'!$C$11)</f>
        <v>102.96413826069806</v>
      </c>
      <c r="O11" s="9">
        <f>F11*Supuestos!$C$40*((Supuestos!$C$46*E11*Supuestos!$C$22*Supuestos!$C$28/1000*Supuestos!$C$29/30.4+Supuestos!$C$46*E11*Supuestos!$C$33/1000000*Supuestos!$C$34)*'Precios Azure'!$C$12+Supuestos!$C$46*E11*Supuestos!$C$35/10000*'Precios Azure'!$C$13)</f>
        <v>61.305690901668541</v>
      </c>
      <c r="P11" s="9">
        <f>F11*Supuestos!$C$40*30.4*'Precios Azure'!$C$5</f>
        <v>3.8223851007999996</v>
      </c>
      <c r="Q11" s="9">
        <f>F11*Supuestos!$C$40*MAX(0,Supuestos!$C$36-5)*'Precios Azure'!$C$14</f>
        <v>119.547648</v>
      </c>
      <c r="R11" s="9">
        <f>F11*Supuestos!$C$39*Supuestos!$C$44</f>
        <v>1466.6666666666665</v>
      </c>
      <c r="S11" s="9">
        <f t="shared" si="0"/>
        <v>3008.7145654098331</v>
      </c>
      <c r="T11" s="9">
        <f>D11*Supuestos!$C$19*Supuestos!$C$8</f>
        <v>8509.0909090909099</v>
      </c>
      <c r="U11" s="9">
        <f t="shared" si="1"/>
        <v>5500.3763436810768</v>
      </c>
      <c r="V11" s="9">
        <f>SUM($U$2:U11)</f>
        <v>-50128.265041302635</v>
      </c>
    </row>
    <row r="12" spans="1:22" x14ac:dyDescent="0.25">
      <c r="A12">
        <v>11</v>
      </c>
      <c r="B12" s="9">
        <f>IF(A12=1,Supuestos!$C$11,IF(A12=2,Supuestos!$C$12,IF(A12=3,Supuestos!$C$13,0)))*Supuestos!$C$45</f>
        <v>0</v>
      </c>
      <c r="C12" s="6">
        <f>IF(A12&lt;Supuestos!$C$15,0,IF(A12&gt;=Supuestos!$C$16,1,0.1+0.9*(A12-Supuestos!$C$15)/(Supuestos!$C$16-Supuestos!$C$15)))</f>
        <v>0.67272727272727273</v>
      </c>
      <c r="D12" s="9">
        <f>Supuestos!$C$17*Supuestos!$C$18*C12</f>
        <v>807.27272727272725</v>
      </c>
      <c r="E12" s="6">
        <f>IF(F12=0,0,IF(D12=0,0.05*Supuestos!$C$18,D12/Supuestos!$C$17))</f>
        <v>0.40363636363636363</v>
      </c>
      <c r="F12" s="9">
        <f>IF(A12&gt;=Supuestos!$C$14,1,0)</f>
        <v>1</v>
      </c>
      <c r="G12" s="9">
        <f>IF(Supuestos!$C$9*Supuestos!$C$20*E12&gt;0,MAX(Supuestos!$C$25,CEILING(Supuestos!$C$9*Supuestos!$C$20*E12/Supuestos!$C$23,1)+Supuestos!$C$24),Supuestos!$C$25)</f>
        <v>3</v>
      </c>
      <c r="H12" s="9">
        <f>IF(Supuestos!$C$9*Supuestos!$C$21*E12&gt;0,MAX(Supuestos!$C$25,CEILING(Supuestos!$C$9*Supuestos!$C$21*E12/Supuestos!$C$23,1)+Supuestos!$C$24),Supuestos!$C$25)</f>
        <v>2</v>
      </c>
      <c r="I12" s="9">
        <f>F12*Supuestos!$C$40*(G12+H12)*365*Supuestos!$C$48</f>
        <v>208.25743679999999</v>
      </c>
      <c r="J12" s="9">
        <f>F12*Supuestos!$C$40*60*Supuestos!$C$48</f>
        <v>6.8468198399999993</v>
      </c>
      <c r="K12" s="9">
        <f>F12*Supuestos!$C$40*IF(Supuestos!$C$37=0,1,0)*('Precios Azure'!$C$6+MAX(0,Supuestos!$C$46*E12*Supuestos!$C$30/1000000-13)*'Precios Azure'!$C$7)</f>
        <v>0</v>
      </c>
      <c r="L12" s="9">
        <f>F12*Supuestos!$C$40*Supuestos!$C$37*730*'Precios Azure'!$C$8</f>
        <v>511.00204399999996</v>
      </c>
      <c r="M12" s="9">
        <f>F12*Supuestos!$C$40*Supuestos!$C$38*730*'Precios Azure'!$C$9</f>
        <v>528.30173583999999</v>
      </c>
      <c r="N12" s="9">
        <f>F12*Supuestos!$C$40*Supuestos!$C$46*E12*(Supuestos!$C$31/1000*'Precios Azure'!$C$10+Supuestos!$C$32/1000*'Precios Azure'!$C$11)</f>
        <v>117.22071125064087</v>
      </c>
      <c r="O12" s="9">
        <f>F12*Supuestos!$C$40*((Supuestos!$C$46*E12*Supuestos!$C$22*Supuestos!$C$28/1000*Supuestos!$C$29/30.4+Supuestos!$C$46*E12*Supuestos!$C$33/1000000*Supuestos!$C$34)*'Precios Azure'!$C$12+Supuestos!$C$46*E12*Supuestos!$C$35/10000*'Precios Azure'!$C$13)</f>
        <v>69.794171180361133</v>
      </c>
      <c r="P12" s="9">
        <f>F12*Supuestos!$C$40*30.4*'Precios Azure'!$C$5</f>
        <v>3.8223851007999996</v>
      </c>
      <c r="Q12" s="9">
        <f>F12*Supuestos!$C$40*MAX(0,Supuestos!$C$36-5)*'Precios Azure'!$C$14</f>
        <v>119.547648</v>
      </c>
      <c r="R12" s="9">
        <f>F12*Supuestos!$C$39*Supuestos!$C$44</f>
        <v>1466.6666666666665</v>
      </c>
      <c r="S12" s="9">
        <f t="shared" si="0"/>
        <v>3031.4596186784684</v>
      </c>
      <c r="T12" s="9">
        <f>D12*Supuestos!$C$19*Supuestos!$C$8</f>
        <v>9687.2727272727261</v>
      </c>
      <c r="U12" s="9">
        <f t="shared" si="1"/>
        <v>6655.8131085942578</v>
      </c>
      <c r="V12" s="9">
        <f>SUM($U$2:U12)</f>
        <v>-43472.451932708376</v>
      </c>
    </row>
    <row r="13" spans="1:22" x14ac:dyDescent="0.25">
      <c r="A13">
        <v>12</v>
      </c>
      <c r="B13" s="9">
        <f>IF(A13=1,Supuestos!$C$11,IF(A13=2,Supuestos!$C$12,IF(A13=3,Supuestos!$C$13,0)))*Supuestos!$C$45</f>
        <v>0</v>
      </c>
      <c r="C13" s="6">
        <f>IF(A13&lt;Supuestos!$C$15,0,IF(A13&gt;=Supuestos!$C$16,1,0.1+0.9*(A13-Supuestos!$C$15)/(Supuestos!$C$16-Supuestos!$C$15)))</f>
        <v>0.75454545454545452</v>
      </c>
      <c r="D13" s="9">
        <f>Supuestos!$C$17*Supuestos!$C$18*C13</f>
        <v>905.45454545454538</v>
      </c>
      <c r="E13" s="6">
        <f>IF(F13=0,0,IF(D13=0,0.05*Supuestos!$C$18,D13/Supuestos!$C$17))</f>
        <v>0.4527272727272727</v>
      </c>
      <c r="F13" s="9">
        <f>IF(A13&gt;=Supuestos!$C$14,1,0)</f>
        <v>1</v>
      </c>
      <c r="G13" s="9">
        <f>IF(Supuestos!$C$9*Supuestos!$C$20*E13&gt;0,MAX(Supuestos!$C$25,CEILING(Supuestos!$C$9*Supuestos!$C$20*E13/Supuestos!$C$23,1)+Supuestos!$C$24),Supuestos!$C$25)</f>
        <v>3</v>
      </c>
      <c r="H13" s="9">
        <f>IF(Supuestos!$C$9*Supuestos!$C$21*E13&gt;0,MAX(Supuestos!$C$25,CEILING(Supuestos!$C$9*Supuestos!$C$21*E13/Supuestos!$C$23,1)+Supuestos!$C$24),Supuestos!$C$25)</f>
        <v>2</v>
      </c>
      <c r="I13" s="9">
        <f>F13*Supuestos!$C$40*(G13+H13)*365*Supuestos!$C$48</f>
        <v>208.25743679999999</v>
      </c>
      <c r="J13" s="9">
        <f>F13*Supuestos!$C$40*60*Supuestos!$C$48</f>
        <v>6.8468198399999993</v>
      </c>
      <c r="K13" s="9">
        <f>F13*Supuestos!$C$40*IF(Supuestos!$C$37=0,1,0)*('Precios Azure'!$C$6+MAX(0,Supuestos!$C$46*E13*Supuestos!$C$30/1000000-13)*'Precios Azure'!$C$7)</f>
        <v>0</v>
      </c>
      <c r="L13" s="9">
        <f>F13*Supuestos!$C$40*Supuestos!$C$37*730*'Precios Azure'!$C$8</f>
        <v>511.00204399999996</v>
      </c>
      <c r="M13" s="9">
        <f>F13*Supuestos!$C$40*Supuestos!$C$38*730*'Precios Azure'!$C$9</f>
        <v>528.30173583999999</v>
      </c>
      <c r="N13" s="9">
        <f>F13*Supuestos!$C$40*Supuestos!$C$46*E13*(Supuestos!$C$31/1000*'Precios Azure'!$C$10+Supuestos!$C$32/1000*'Precios Azure'!$C$11)</f>
        <v>131.47728424058369</v>
      </c>
      <c r="O13" s="9">
        <f>F13*Supuestos!$C$40*((Supuestos!$C$46*E13*Supuestos!$C$22*Supuestos!$C$28/1000*Supuestos!$C$29/30.4+Supuestos!$C$46*E13*Supuestos!$C$33/1000000*Supuestos!$C$34)*'Precios Azure'!$C$12+Supuestos!$C$46*E13*Supuestos!$C$35/10000*'Precios Azure'!$C$13)</f>
        <v>78.282651459053696</v>
      </c>
      <c r="P13" s="9">
        <f>F13*Supuestos!$C$40*30.4*'Precios Azure'!$C$5</f>
        <v>3.8223851007999996</v>
      </c>
      <c r="Q13" s="9">
        <f>F13*Supuestos!$C$40*MAX(0,Supuestos!$C$36-5)*'Precios Azure'!$C$14</f>
        <v>119.547648</v>
      </c>
      <c r="R13" s="9">
        <f>F13*Supuestos!$C$39*Supuestos!$C$44</f>
        <v>1466.6666666666665</v>
      </c>
      <c r="S13" s="9">
        <f t="shared" si="0"/>
        <v>3054.2046719471036</v>
      </c>
      <c r="T13" s="9">
        <f>D13*Supuestos!$C$19*Supuestos!$C$8</f>
        <v>10865.454545454544</v>
      </c>
      <c r="U13" s="9">
        <f t="shared" si="1"/>
        <v>7811.2498735074405</v>
      </c>
      <c r="V13" s="9">
        <f>SUM($U$2:U13)</f>
        <v>-35661.202059200936</v>
      </c>
    </row>
    <row r="14" spans="1:22" x14ac:dyDescent="0.25">
      <c r="A14">
        <v>13</v>
      </c>
      <c r="B14" s="9">
        <f>IF(A14=1,Supuestos!$C$11,IF(A14=2,Supuestos!$C$12,IF(A14=3,Supuestos!$C$13,0)))*Supuestos!$C$45</f>
        <v>0</v>
      </c>
      <c r="C14" s="6">
        <f>IF(A14&lt;Supuestos!$C$15,0,IF(A14&gt;=Supuestos!$C$16,1,0.1+0.9*(A14-Supuestos!$C$15)/(Supuestos!$C$16-Supuestos!$C$15)))</f>
        <v>0.83636363636363631</v>
      </c>
      <c r="D14" s="9">
        <f>Supuestos!$C$17*Supuestos!$C$18*C14</f>
        <v>1003.6363636363636</v>
      </c>
      <c r="E14" s="6">
        <f>IF(F14=0,0,IF(D14=0,0.05*Supuestos!$C$18,D14/Supuestos!$C$17))</f>
        <v>0.50181818181818183</v>
      </c>
      <c r="F14" s="9">
        <f>IF(A14&gt;=Supuestos!$C$14,1,0)</f>
        <v>1</v>
      </c>
      <c r="G14" s="9">
        <f>IF(Supuestos!$C$9*Supuestos!$C$20*E14&gt;0,MAX(Supuestos!$C$25,CEILING(Supuestos!$C$9*Supuestos!$C$20*E14/Supuestos!$C$23,1)+Supuestos!$C$24),Supuestos!$C$25)</f>
        <v>4</v>
      </c>
      <c r="H14" s="9">
        <f>IF(Supuestos!$C$9*Supuestos!$C$21*E14&gt;0,MAX(Supuestos!$C$25,CEILING(Supuestos!$C$9*Supuestos!$C$21*E14/Supuestos!$C$23,1)+Supuestos!$C$24),Supuestos!$C$25)</f>
        <v>2</v>
      </c>
      <c r="I14" s="9">
        <f>F14*Supuestos!$C$40*(G14+H14)*365*Supuestos!$C$48</f>
        <v>249.90892415999997</v>
      </c>
      <c r="J14" s="9">
        <f>F14*Supuestos!$C$40*60*Supuestos!$C$48</f>
        <v>6.8468198399999993</v>
      </c>
      <c r="K14" s="9">
        <f>F14*Supuestos!$C$40*IF(Supuestos!$C$37=0,1,0)*('Precios Azure'!$C$6+MAX(0,Supuestos!$C$46*E14*Supuestos!$C$30/1000000-13)*'Precios Azure'!$C$7)</f>
        <v>0</v>
      </c>
      <c r="L14" s="9">
        <f>F14*Supuestos!$C$40*Supuestos!$C$37*730*'Precios Azure'!$C$8</f>
        <v>511.00204399999996</v>
      </c>
      <c r="M14" s="9">
        <f>F14*Supuestos!$C$40*Supuestos!$C$38*730*'Precios Azure'!$C$9</f>
        <v>528.30173583999999</v>
      </c>
      <c r="N14" s="9">
        <f>F14*Supuestos!$C$40*Supuestos!$C$46*E14*(Supuestos!$C$31/1000*'Precios Azure'!$C$10+Supuestos!$C$32/1000*'Precios Azure'!$C$11)</f>
        <v>145.7338572305265</v>
      </c>
      <c r="O14" s="9">
        <f>F14*Supuestos!$C$40*((Supuestos!$C$46*E14*Supuestos!$C$22*Supuestos!$C$28/1000*Supuestos!$C$29/30.4+Supuestos!$C$46*E14*Supuestos!$C$33/1000000*Supuestos!$C$34)*'Precios Azure'!$C$12+Supuestos!$C$46*E14*Supuestos!$C$35/10000*'Precios Azure'!$C$13)</f>
        <v>86.771131737746259</v>
      </c>
      <c r="P14" s="9">
        <f>F14*Supuestos!$C$40*30.4*'Precios Azure'!$C$5</f>
        <v>3.8223851007999996</v>
      </c>
      <c r="Q14" s="9">
        <f>F14*Supuestos!$C$40*MAX(0,Supuestos!$C$36-5)*'Precios Azure'!$C$14</f>
        <v>119.547648</v>
      </c>
      <c r="R14" s="9">
        <f>F14*Supuestos!$C$39*Supuestos!$C$44</f>
        <v>1466.6666666666665</v>
      </c>
      <c r="S14" s="9">
        <f t="shared" si="0"/>
        <v>3118.6012125757388</v>
      </c>
      <c r="T14" s="9">
        <f>D14*Supuestos!$C$19*Supuestos!$C$8</f>
        <v>12043.636363636364</v>
      </c>
      <c r="U14" s="9">
        <f t="shared" si="1"/>
        <v>8925.0351510606251</v>
      </c>
      <c r="V14" s="9">
        <f>SUM($U$2:U14)</f>
        <v>-26736.166908140309</v>
      </c>
    </row>
    <row r="15" spans="1:22" x14ac:dyDescent="0.25">
      <c r="A15">
        <v>14</v>
      </c>
      <c r="B15" s="9">
        <f>IF(A15=1,Supuestos!$C$11,IF(A15=2,Supuestos!$C$12,IF(A15=3,Supuestos!$C$13,0)))*Supuestos!$C$45</f>
        <v>0</v>
      </c>
      <c r="C15" s="6">
        <f>IF(A15&lt;Supuestos!$C$15,0,IF(A15&gt;=Supuestos!$C$16,1,0.1+0.9*(A15-Supuestos!$C$15)/(Supuestos!$C$16-Supuestos!$C$15)))</f>
        <v>0.91818181818181821</v>
      </c>
      <c r="D15" s="9">
        <f>Supuestos!$C$17*Supuestos!$C$18*C15</f>
        <v>1101.8181818181818</v>
      </c>
      <c r="E15" s="6">
        <f>IF(F15=0,0,IF(D15=0,0.05*Supuestos!$C$18,D15/Supuestos!$C$17))</f>
        <v>0.5509090909090909</v>
      </c>
      <c r="F15" s="9">
        <f>IF(A15&gt;=Supuestos!$C$14,1,0)</f>
        <v>1</v>
      </c>
      <c r="G15" s="9">
        <f>IF(Supuestos!$C$9*Supuestos!$C$20*E15&gt;0,MAX(Supuestos!$C$25,CEILING(Supuestos!$C$9*Supuestos!$C$20*E15/Supuestos!$C$23,1)+Supuestos!$C$24),Supuestos!$C$25)</f>
        <v>4</v>
      </c>
      <c r="H15" s="9">
        <f>IF(Supuestos!$C$9*Supuestos!$C$21*E15&gt;0,MAX(Supuestos!$C$25,CEILING(Supuestos!$C$9*Supuestos!$C$21*E15/Supuestos!$C$23,1)+Supuestos!$C$24),Supuestos!$C$25)</f>
        <v>2</v>
      </c>
      <c r="I15" s="9">
        <f>F15*Supuestos!$C$40*(G15+H15)*365*Supuestos!$C$48</f>
        <v>249.90892415999997</v>
      </c>
      <c r="J15" s="9">
        <f>F15*Supuestos!$C$40*60*Supuestos!$C$48</f>
        <v>6.8468198399999993</v>
      </c>
      <c r="K15" s="9">
        <f>F15*Supuestos!$C$40*IF(Supuestos!$C$37=0,1,0)*('Precios Azure'!$C$6+MAX(0,Supuestos!$C$46*E15*Supuestos!$C$30/1000000-13)*'Precios Azure'!$C$7)</f>
        <v>0</v>
      </c>
      <c r="L15" s="9">
        <f>F15*Supuestos!$C$40*Supuestos!$C$37*730*'Precios Azure'!$C$8</f>
        <v>511.00204399999996</v>
      </c>
      <c r="M15" s="9">
        <f>F15*Supuestos!$C$40*Supuestos!$C$38*730*'Precios Azure'!$C$9</f>
        <v>528.30173583999999</v>
      </c>
      <c r="N15" s="9">
        <f>F15*Supuestos!$C$40*Supuestos!$C$46*E15*(Supuestos!$C$31/1000*'Precios Azure'!$C$10+Supuestos!$C$32/1000*'Precios Azure'!$C$11)</f>
        <v>159.99043022046931</v>
      </c>
      <c r="O15" s="9">
        <f>F15*Supuestos!$C$40*((Supuestos!$C$46*E15*Supuestos!$C$22*Supuestos!$C$28/1000*Supuestos!$C$29/30.4+Supuestos!$C$46*E15*Supuestos!$C$33/1000000*Supuestos!$C$34)*'Precios Azure'!$C$12+Supuestos!$C$46*E15*Supuestos!$C$35/10000*'Precios Azure'!$C$13)</f>
        <v>95.259612016438837</v>
      </c>
      <c r="P15" s="9">
        <f>F15*Supuestos!$C$40*30.4*'Precios Azure'!$C$5</f>
        <v>3.8223851007999996</v>
      </c>
      <c r="Q15" s="9">
        <f>F15*Supuestos!$C$40*MAX(0,Supuestos!$C$36-5)*'Precios Azure'!$C$14</f>
        <v>119.547648</v>
      </c>
      <c r="R15" s="9">
        <f>F15*Supuestos!$C$39*Supuestos!$C$44</f>
        <v>1466.6666666666665</v>
      </c>
      <c r="S15" s="9">
        <f t="shared" si="0"/>
        <v>3141.3462658443746</v>
      </c>
      <c r="T15" s="9">
        <f>D15*Supuestos!$C$19*Supuestos!$C$8</f>
        <v>13221.818181818184</v>
      </c>
      <c r="U15" s="9">
        <f t="shared" si="1"/>
        <v>10080.471915973809</v>
      </c>
      <c r="V15" s="9">
        <f>SUM($U$2:U15)</f>
        <v>-16655.6949921665</v>
      </c>
    </row>
    <row r="16" spans="1:22" x14ac:dyDescent="0.25">
      <c r="A16">
        <v>15</v>
      </c>
      <c r="B16" s="9">
        <f>IF(A16=1,Supuestos!$C$11,IF(A16=2,Supuestos!$C$12,IF(A16=3,Supuestos!$C$13,0)))*Supuestos!$C$45</f>
        <v>0</v>
      </c>
      <c r="C16" s="6">
        <f>IF(A16&lt;Supuestos!$C$15,0,IF(A16&gt;=Supuestos!$C$16,1,0.1+0.9*(A16-Supuestos!$C$15)/(Supuestos!$C$16-Supuestos!$C$15)))</f>
        <v>1</v>
      </c>
      <c r="D16" s="9">
        <f>Supuestos!$C$17*Supuestos!$C$18*C16</f>
        <v>1200</v>
      </c>
      <c r="E16" s="6">
        <f>IF(F16=0,0,IF(D16=0,0.05*Supuestos!$C$18,D16/Supuestos!$C$17))</f>
        <v>0.6</v>
      </c>
      <c r="F16" s="9">
        <f>IF(A16&gt;=Supuestos!$C$14,1,0)</f>
        <v>1</v>
      </c>
      <c r="G16" s="9">
        <f>IF(Supuestos!$C$9*Supuestos!$C$20*E16&gt;0,MAX(Supuestos!$C$25,CEILING(Supuestos!$C$9*Supuestos!$C$20*E16/Supuestos!$C$23,1)+Supuestos!$C$24),Supuestos!$C$25)</f>
        <v>4</v>
      </c>
      <c r="H16" s="9">
        <f>IF(Supuestos!$C$9*Supuestos!$C$21*E16&gt;0,MAX(Supuestos!$C$25,CEILING(Supuestos!$C$9*Supuestos!$C$21*E16/Supuestos!$C$23,1)+Supuestos!$C$24),Supuestos!$C$25)</f>
        <v>2</v>
      </c>
      <c r="I16" s="9">
        <f>F16*Supuestos!$C$40*(G16+H16)*365*Supuestos!$C$48</f>
        <v>249.90892415999997</v>
      </c>
      <c r="J16" s="9">
        <f>F16*Supuestos!$C$40*60*Supuestos!$C$48</f>
        <v>6.8468198399999993</v>
      </c>
      <c r="K16" s="9">
        <f>F16*Supuestos!$C$40*IF(Supuestos!$C$37=0,1,0)*('Precios Azure'!$C$6+MAX(0,Supuestos!$C$46*E16*Supuestos!$C$30/1000000-13)*'Precios Azure'!$C$7)</f>
        <v>0</v>
      </c>
      <c r="L16" s="9">
        <f>F16*Supuestos!$C$40*Supuestos!$C$37*730*'Precios Azure'!$C$8</f>
        <v>511.00204399999996</v>
      </c>
      <c r="M16" s="9">
        <f>F16*Supuestos!$C$40*Supuestos!$C$38*730*'Precios Azure'!$C$9</f>
        <v>528.30173583999999</v>
      </c>
      <c r="N16" s="9">
        <f>F16*Supuestos!$C$40*Supuestos!$C$46*E16*(Supuestos!$C$31/1000*'Precios Azure'!$C$10+Supuestos!$C$32/1000*'Precios Azure'!$C$11)</f>
        <v>174.24700321041209</v>
      </c>
      <c r="O16" s="9">
        <f>F16*Supuestos!$C$40*((Supuestos!$C$46*E16*Supuestos!$C$22*Supuestos!$C$28/1000*Supuestos!$C$29/30.4+Supuestos!$C$46*E16*Supuestos!$C$33/1000000*Supuestos!$C$34)*'Precios Azure'!$C$12+Supuestos!$C$46*E16*Supuestos!$C$35/10000*'Precios Azure'!$C$13)</f>
        <v>103.7480922951314</v>
      </c>
      <c r="P16" s="9">
        <f>F16*Supuestos!$C$40*30.4*'Precios Azure'!$C$5</f>
        <v>3.8223851007999996</v>
      </c>
      <c r="Q16" s="9">
        <f>F16*Supuestos!$C$40*MAX(0,Supuestos!$C$36-5)*'Precios Azure'!$C$14</f>
        <v>119.547648</v>
      </c>
      <c r="R16" s="9">
        <f>F16*Supuestos!$C$39*Supuestos!$C$44</f>
        <v>1466.6666666666665</v>
      </c>
      <c r="S16" s="9">
        <f t="shared" si="0"/>
        <v>3164.0913191130094</v>
      </c>
      <c r="T16" s="9">
        <f>D16*Supuestos!$C$19*Supuestos!$C$8</f>
        <v>14400</v>
      </c>
      <c r="U16" s="9">
        <f t="shared" si="1"/>
        <v>11235.908680886991</v>
      </c>
      <c r="V16" s="9">
        <f>SUM($U$2:U16)</f>
        <v>-5419.7863112795094</v>
      </c>
    </row>
    <row r="17" spans="1:22" x14ac:dyDescent="0.25">
      <c r="A17">
        <v>16</v>
      </c>
      <c r="B17" s="9">
        <f>IF(A17=1,Supuestos!$C$11,IF(A17=2,Supuestos!$C$12,IF(A17=3,Supuestos!$C$13,0)))*Supuestos!$C$45</f>
        <v>0</v>
      </c>
      <c r="C17" s="6">
        <f>IF(A17&lt;Supuestos!$C$15,0,IF(A17&gt;=Supuestos!$C$16,1,0.1+0.9*(A17-Supuestos!$C$15)/(Supuestos!$C$16-Supuestos!$C$15)))</f>
        <v>1</v>
      </c>
      <c r="D17" s="9">
        <f>Supuestos!$C$17*Supuestos!$C$18*C17</f>
        <v>1200</v>
      </c>
      <c r="E17" s="6">
        <f>IF(F17=0,0,IF(D17=0,0.05*Supuestos!$C$18,D17/Supuestos!$C$17))</f>
        <v>0.6</v>
      </c>
      <c r="F17" s="9">
        <f>IF(A17&gt;=Supuestos!$C$14,1,0)</f>
        <v>1</v>
      </c>
      <c r="G17" s="9">
        <f>IF(Supuestos!$C$9*Supuestos!$C$20*E17&gt;0,MAX(Supuestos!$C$25,CEILING(Supuestos!$C$9*Supuestos!$C$20*E17/Supuestos!$C$23,1)+Supuestos!$C$24),Supuestos!$C$25)</f>
        <v>4</v>
      </c>
      <c r="H17" s="9">
        <f>IF(Supuestos!$C$9*Supuestos!$C$21*E17&gt;0,MAX(Supuestos!$C$25,CEILING(Supuestos!$C$9*Supuestos!$C$21*E17/Supuestos!$C$23,1)+Supuestos!$C$24),Supuestos!$C$25)</f>
        <v>2</v>
      </c>
      <c r="I17" s="9">
        <f>F17*Supuestos!$C$40*(G17+H17)*365*Supuestos!$C$48</f>
        <v>249.90892415999997</v>
      </c>
      <c r="J17" s="9">
        <f>F17*Supuestos!$C$40*60*Supuestos!$C$48</f>
        <v>6.8468198399999993</v>
      </c>
      <c r="K17" s="9">
        <f>F17*Supuestos!$C$40*IF(Supuestos!$C$37=0,1,0)*('Precios Azure'!$C$6+MAX(0,Supuestos!$C$46*E17*Supuestos!$C$30/1000000-13)*'Precios Azure'!$C$7)</f>
        <v>0</v>
      </c>
      <c r="L17" s="9">
        <f>F17*Supuestos!$C$40*Supuestos!$C$37*730*'Precios Azure'!$C$8</f>
        <v>511.00204399999996</v>
      </c>
      <c r="M17" s="9">
        <f>F17*Supuestos!$C$40*Supuestos!$C$38*730*'Precios Azure'!$C$9</f>
        <v>528.30173583999999</v>
      </c>
      <c r="N17" s="9">
        <f>F17*Supuestos!$C$40*Supuestos!$C$46*E17*(Supuestos!$C$31/1000*'Precios Azure'!$C$10+Supuestos!$C$32/1000*'Precios Azure'!$C$11)</f>
        <v>174.24700321041209</v>
      </c>
      <c r="O17" s="9">
        <f>F17*Supuestos!$C$40*((Supuestos!$C$46*E17*Supuestos!$C$22*Supuestos!$C$28/1000*Supuestos!$C$29/30.4+Supuestos!$C$46*E17*Supuestos!$C$33/1000000*Supuestos!$C$34)*'Precios Azure'!$C$12+Supuestos!$C$46*E17*Supuestos!$C$35/10000*'Precios Azure'!$C$13)</f>
        <v>103.7480922951314</v>
      </c>
      <c r="P17" s="9">
        <f>F17*Supuestos!$C$40*30.4*'Precios Azure'!$C$5</f>
        <v>3.8223851007999996</v>
      </c>
      <c r="Q17" s="9">
        <f>F17*Supuestos!$C$40*MAX(0,Supuestos!$C$36-5)*'Precios Azure'!$C$14</f>
        <v>119.547648</v>
      </c>
      <c r="R17" s="9">
        <f>F17*Supuestos!$C$39*Supuestos!$C$44</f>
        <v>1466.6666666666665</v>
      </c>
      <c r="S17" s="9">
        <f t="shared" si="0"/>
        <v>3164.0913191130094</v>
      </c>
      <c r="T17" s="9">
        <f>D17*Supuestos!$C$19*Supuestos!$C$8</f>
        <v>14400</v>
      </c>
      <c r="U17" s="9">
        <f t="shared" si="1"/>
        <v>11235.908680886991</v>
      </c>
      <c r="V17" s="9">
        <f>SUM($U$2:U17)</f>
        <v>5816.1223696074812</v>
      </c>
    </row>
    <row r="18" spans="1:22" x14ac:dyDescent="0.25">
      <c r="A18">
        <v>17</v>
      </c>
      <c r="B18" s="9">
        <f>IF(A18=1,Supuestos!$C$11,IF(A18=2,Supuestos!$C$12,IF(A18=3,Supuestos!$C$13,0)))*Supuestos!$C$45</f>
        <v>0</v>
      </c>
      <c r="C18" s="6">
        <f>IF(A18&lt;Supuestos!$C$15,0,IF(A18&gt;=Supuestos!$C$16,1,0.1+0.9*(A18-Supuestos!$C$15)/(Supuestos!$C$16-Supuestos!$C$15)))</f>
        <v>1</v>
      </c>
      <c r="D18" s="9">
        <f>Supuestos!$C$17*Supuestos!$C$18*C18</f>
        <v>1200</v>
      </c>
      <c r="E18" s="6">
        <f>IF(F18=0,0,IF(D18=0,0.05*Supuestos!$C$18,D18/Supuestos!$C$17))</f>
        <v>0.6</v>
      </c>
      <c r="F18" s="9">
        <f>IF(A18&gt;=Supuestos!$C$14,1,0)</f>
        <v>1</v>
      </c>
      <c r="G18" s="9">
        <f>IF(Supuestos!$C$9*Supuestos!$C$20*E18&gt;0,MAX(Supuestos!$C$25,CEILING(Supuestos!$C$9*Supuestos!$C$20*E18/Supuestos!$C$23,1)+Supuestos!$C$24),Supuestos!$C$25)</f>
        <v>4</v>
      </c>
      <c r="H18" s="9">
        <f>IF(Supuestos!$C$9*Supuestos!$C$21*E18&gt;0,MAX(Supuestos!$C$25,CEILING(Supuestos!$C$9*Supuestos!$C$21*E18/Supuestos!$C$23,1)+Supuestos!$C$24),Supuestos!$C$25)</f>
        <v>2</v>
      </c>
      <c r="I18" s="9">
        <f>F18*Supuestos!$C$40*(G18+H18)*365*Supuestos!$C$48</f>
        <v>249.90892415999997</v>
      </c>
      <c r="J18" s="9">
        <f>F18*Supuestos!$C$40*60*Supuestos!$C$48</f>
        <v>6.8468198399999993</v>
      </c>
      <c r="K18" s="9">
        <f>F18*Supuestos!$C$40*IF(Supuestos!$C$37=0,1,0)*('Precios Azure'!$C$6+MAX(0,Supuestos!$C$46*E18*Supuestos!$C$30/1000000-13)*'Precios Azure'!$C$7)</f>
        <v>0</v>
      </c>
      <c r="L18" s="9">
        <f>F18*Supuestos!$C$40*Supuestos!$C$37*730*'Precios Azure'!$C$8</f>
        <v>511.00204399999996</v>
      </c>
      <c r="M18" s="9">
        <f>F18*Supuestos!$C$40*Supuestos!$C$38*730*'Precios Azure'!$C$9</f>
        <v>528.30173583999999</v>
      </c>
      <c r="N18" s="9">
        <f>F18*Supuestos!$C$40*Supuestos!$C$46*E18*(Supuestos!$C$31/1000*'Precios Azure'!$C$10+Supuestos!$C$32/1000*'Precios Azure'!$C$11)</f>
        <v>174.24700321041209</v>
      </c>
      <c r="O18" s="9">
        <f>F18*Supuestos!$C$40*((Supuestos!$C$46*E18*Supuestos!$C$22*Supuestos!$C$28/1000*Supuestos!$C$29/30.4+Supuestos!$C$46*E18*Supuestos!$C$33/1000000*Supuestos!$C$34)*'Precios Azure'!$C$12+Supuestos!$C$46*E18*Supuestos!$C$35/10000*'Precios Azure'!$C$13)</f>
        <v>103.7480922951314</v>
      </c>
      <c r="P18" s="9">
        <f>F18*Supuestos!$C$40*30.4*'Precios Azure'!$C$5</f>
        <v>3.8223851007999996</v>
      </c>
      <c r="Q18" s="9">
        <f>F18*Supuestos!$C$40*MAX(0,Supuestos!$C$36-5)*'Precios Azure'!$C$14</f>
        <v>119.547648</v>
      </c>
      <c r="R18" s="9">
        <f>F18*Supuestos!$C$39*Supuestos!$C$44</f>
        <v>1466.6666666666665</v>
      </c>
      <c r="S18" s="9">
        <f t="shared" si="0"/>
        <v>3164.0913191130094</v>
      </c>
      <c r="T18" s="9">
        <f>D18*Supuestos!$C$19*Supuestos!$C$8</f>
        <v>14400</v>
      </c>
      <c r="U18" s="9">
        <f t="shared" si="1"/>
        <v>11235.908680886991</v>
      </c>
      <c r="V18" s="9">
        <f>SUM($U$2:U18)</f>
        <v>17052.031050494472</v>
      </c>
    </row>
    <row r="19" spans="1:22" x14ac:dyDescent="0.25">
      <c r="A19">
        <v>18</v>
      </c>
      <c r="B19" s="9">
        <f>IF(A19=1,Supuestos!$C$11,IF(A19=2,Supuestos!$C$12,IF(A19=3,Supuestos!$C$13,0)))*Supuestos!$C$45</f>
        <v>0</v>
      </c>
      <c r="C19" s="6">
        <f>IF(A19&lt;Supuestos!$C$15,0,IF(A19&gt;=Supuestos!$C$16,1,0.1+0.9*(A19-Supuestos!$C$15)/(Supuestos!$C$16-Supuestos!$C$15)))</f>
        <v>1</v>
      </c>
      <c r="D19" s="9">
        <f>Supuestos!$C$17*Supuestos!$C$18*C19</f>
        <v>1200</v>
      </c>
      <c r="E19" s="6">
        <f>IF(F19=0,0,IF(D19=0,0.05*Supuestos!$C$18,D19/Supuestos!$C$17))</f>
        <v>0.6</v>
      </c>
      <c r="F19" s="9">
        <f>IF(A19&gt;=Supuestos!$C$14,1,0)</f>
        <v>1</v>
      </c>
      <c r="G19" s="9">
        <f>IF(Supuestos!$C$9*Supuestos!$C$20*E19&gt;0,MAX(Supuestos!$C$25,CEILING(Supuestos!$C$9*Supuestos!$C$20*E19/Supuestos!$C$23,1)+Supuestos!$C$24),Supuestos!$C$25)</f>
        <v>4</v>
      </c>
      <c r="H19" s="9">
        <f>IF(Supuestos!$C$9*Supuestos!$C$21*E19&gt;0,MAX(Supuestos!$C$25,CEILING(Supuestos!$C$9*Supuestos!$C$21*E19/Supuestos!$C$23,1)+Supuestos!$C$24),Supuestos!$C$25)</f>
        <v>2</v>
      </c>
      <c r="I19" s="9">
        <f>F19*Supuestos!$C$40*(G19+H19)*365*Supuestos!$C$48</f>
        <v>249.90892415999997</v>
      </c>
      <c r="J19" s="9">
        <f>F19*Supuestos!$C$40*60*Supuestos!$C$48</f>
        <v>6.8468198399999993</v>
      </c>
      <c r="K19" s="9">
        <f>F19*Supuestos!$C$40*IF(Supuestos!$C$37=0,1,0)*('Precios Azure'!$C$6+MAX(0,Supuestos!$C$46*E19*Supuestos!$C$30/1000000-13)*'Precios Azure'!$C$7)</f>
        <v>0</v>
      </c>
      <c r="L19" s="9">
        <f>F19*Supuestos!$C$40*Supuestos!$C$37*730*'Precios Azure'!$C$8</f>
        <v>511.00204399999996</v>
      </c>
      <c r="M19" s="9">
        <f>F19*Supuestos!$C$40*Supuestos!$C$38*730*'Precios Azure'!$C$9</f>
        <v>528.30173583999999</v>
      </c>
      <c r="N19" s="9">
        <f>F19*Supuestos!$C$40*Supuestos!$C$46*E19*(Supuestos!$C$31/1000*'Precios Azure'!$C$10+Supuestos!$C$32/1000*'Precios Azure'!$C$11)</f>
        <v>174.24700321041209</v>
      </c>
      <c r="O19" s="9">
        <f>F19*Supuestos!$C$40*((Supuestos!$C$46*E19*Supuestos!$C$22*Supuestos!$C$28/1000*Supuestos!$C$29/30.4+Supuestos!$C$46*E19*Supuestos!$C$33/1000000*Supuestos!$C$34)*'Precios Azure'!$C$12+Supuestos!$C$46*E19*Supuestos!$C$35/10000*'Precios Azure'!$C$13)</f>
        <v>103.7480922951314</v>
      </c>
      <c r="P19" s="9">
        <f>F19*Supuestos!$C$40*30.4*'Precios Azure'!$C$5</f>
        <v>3.8223851007999996</v>
      </c>
      <c r="Q19" s="9">
        <f>F19*Supuestos!$C$40*MAX(0,Supuestos!$C$36-5)*'Precios Azure'!$C$14</f>
        <v>119.547648</v>
      </c>
      <c r="R19" s="9">
        <f>F19*Supuestos!$C$39*Supuestos!$C$44</f>
        <v>1466.6666666666665</v>
      </c>
      <c r="S19" s="9">
        <f t="shared" si="0"/>
        <v>3164.0913191130094</v>
      </c>
      <c r="T19" s="9">
        <f>D19*Supuestos!$C$19*Supuestos!$C$8</f>
        <v>14400</v>
      </c>
      <c r="U19" s="9">
        <f t="shared" si="1"/>
        <v>11235.908680886991</v>
      </c>
      <c r="V19" s="9">
        <f>SUM($U$2:U19)</f>
        <v>28287.939731381462</v>
      </c>
    </row>
    <row r="20" spans="1:22" x14ac:dyDescent="0.25">
      <c r="A20">
        <v>19</v>
      </c>
      <c r="B20" s="9">
        <f>IF(A20=1,Supuestos!$C$11,IF(A20=2,Supuestos!$C$12,IF(A20=3,Supuestos!$C$13,0)))*Supuestos!$C$45</f>
        <v>0</v>
      </c>
      <c r="C20" s="6">
        <f>IF(A20&lt;Supuestos!$C$15,0,IF(A20&gt;=Supuestos!$C$16,1,0.1+0.9*(A20-Supuestos!$C$15)/(Supuestos!$C$16-Supuestos!$C$15)))</f>
        <v>1</v>
      </c>
      <c r="D20" s="9">
        <f>Supuestos!$C$17*Supuestos!$C$18*C20</f>
        <v>1200</v>
      </c>
      <c r="E20" s="6">
        <f>IF(F20=0,0,IF(D20=0,0.05*Supuestos!$C$18,D20/Supuestos!$C$17))</f>
        <v>0.6</v>
      </c>
      <c r="F20" s="9">
        <f>IF(A20&gt;=Supuestos!$C$14,1,0)</f>
        <v>1</v>
      </c>
      <c r="G20" s="9">
        <f>IF(Supuestos!$C$9*Supuestos!$C$20*E20&gt;0,MAX(Supuestos!$C$25,CEILING(Supuestos!$C$9*Supuestos!$C$20*E20/Supuestos!$C$23,1)+Supuestos!$C$24),Supuestos!$C$25)</f>
        <v>4</v>
      </c>
      <c r="H20" s="9">
        <f>IF(Supuestos!$C$9*Supuestos!$C$21*E20&gt;0,MAX(Supuestos!$C$25,CEILING(Supuestos!$C$9*Supuestos!$C$21*E20/Supuestos!$C$23,1)+Supuestos!$C$24),Supuestos!$C$25)</f>
        <v>2</v>
      </c>
      <c r="I20" s="9">
        <f>F20*Supuestos!$C$40*(G20+H20)*365*Supuestos!$C$48</f>
        <v>249.90892415999997</v>
      </c>
      <c r="J20" s="9">
        <f>F20*Supuestos!$C$40*60*Supuestos!$C$48</f>
        <v>6.8468198399999993</v>
      </c>
      <c r="K20" s="9">
        <f>F20*Supuestos!$C$40*IF(Supuestos!$C$37=0,1,0)*('Precios Azure'!$C$6+MAX(0,Supuestos!$C$46*E20*Supuestos!$C$30/1000000-13)*'Precios Azure'!$C$7)</f>
        <v>0</v>
      </c>
      <c r="L20" s="9">
        <f>F20*Supuestos!$C$40*Supuestos!$C$37*730*'Precios Azure'!$C$8</f>
        <v>511.00204399999996</v>
      </c>
      <c r="M20" s="9">
        <f>F20*Supuestos!$C$40*Supuestos!$C$38*730*'Precios Azure'!$C$9</f>
        <v>528.30173583999999</v>
      </c>
      <c r="N20" s="9">
        <f>F20*Supuestos!$C$40*Supuestos!$C$46*E20*(Supuestos!$C$31/1000*'Precios Azure'!$C$10+Supuestos!$C$32/1000*'Precios Azure'!$C$11)</f>
        <v>174.24700321041209</v>
      </c>
      <c r="O20" s="9">
        <f>F20*Supuestos!$C$40*((Supuestos!$C$46*E20*Supuestos!$C$22*Supuestos!$C$28/1000*Supuestos!$C$29/30.4+Supuestos!$C$46*E20*Supuestos!$C$33/1000000*Supuestos!$C$34)*'Precios Azure'!$C$12+Supuestos!$C$46*E20*Supuestos!$C$35/10000*'Precios Azure'!$C$13)</f>
        <v>103.7480922951314</v>
      </c>
      <c r="P20" s="9">
        <f>F20*Supuestos!$C$40*30.4*'Precios Azure'!$C$5</f>
        <v>3.8223851007999996</v>
      </c>
      <c r="Q20" s="9">
        <f>F20*Supuestos!$C$40*MAX(0,Supuestos!$C$36-5)*'Precios Azure'!$C$14</f>
        <v>119.547648</v>
      </c>
      <c r="R20" s="9">
        <f>F20*Supuestos!$C$39*Supuestos!$C$44</f>
        <v>1466.6666666666665</v>
      </c>
      <c r="S20" s="9">
        <f t="shared" si="0"/>
        <v>3164.0913191130094</v>
      </c>
      <c r="T20" s="9">
        <f>D20*Supuestos!$C$19*Supuestos!$C$8</f>
        <v>14400</v>
      </c>
      <c r="U20" s="9">
        <f t="shared" si="1"/>
        <v>11235.908680886991</v>
      </c>
      <c r="V20" s="9">
        <f>SUM($U$2:U20)</f>
        <v>39523.848412268453</v>
      </c>
    </row>
    <row r="21" spans="1:22" x14ac:dyDescent="0.25">
      <c r="A21">
        <v>20</v>
      </c>
      <c r="B21" s="9">
        <f>IF(A21=1,Supuestos!$C$11,IF(A21=2,Supuestos!$C$12,IF(A21=3,Supuestos!$C$13,0)))*Supuestos!$C$45</f>
        <v>0</v>
      </c>
      <c r="C21" s="6">
        <f>IF(A21&lt;Supuestos!$C$15,0,IF(A21&gt;=Supuestos!$C$16,1,0.1+0.9*(A21-Supuestos!$C$15)/(Supuestos!$C$16-Supuestos!$C$15)))</f>
        <v>1</v>
      </c>
      <c r="D21" s="9">
        <f>Supuestos!$C$17*Supuestos!$C$18*C21</f>
        <v>1200</v>
      </c>
      <c r="E21" s="6">
        <f>IF(F21=0,0,IF(D21=0,0.05*Supuestos!$C$18,D21/Supuestos!$C$17))</f>
        <v>0.6</v>
      </c>
      <c r="F21" s="9">
        <f>IF(A21&gt;=Supuestos!$C$14,1,0)</f>
        <v>1</v>
      </c>
      <c r="G21" s="9">
        <f>IF(Supuestos!$C$9*Supuestos!$C$20*E21&gt;0,MAX(Supuestos!$C$25,CEILING(Supuestos!$C$9*Supuestos!$C$20*E21/Supuestos!$C$23,1)+Supuestos!$C$24),Supuestos!$C$25)</f>
        <v>4</v>
      </c>
      <c r="H21" s="9">
        <f>IF(Supuestos!$C$9*Supuestos!$C$21*E21&gt;0,MAX(Supuestos!$C$25,CEILING(Supuestos!$C$9*Supuestos!$C$21*E21/Supuestos!$C$23,1)+Supuestos!$C$24),Supuestos!$C$25)</f>
        <v>2</v>
      </c>
      <c r="I21" s="9">
        <f>F21*Supuestos!$C$40*(G21+H21)*365*Supuestos!$C$48</f>
        <v>249.90892415999997</v>
      </c>
      <c r="J21" s="9">
        <f>F21*Supuestos!$C$40*60*Supuestos!$C$48</f>
        <v>6.8468198399999993</v>
      </c>
      <c r="K21" s="9">
        <f>F21*Supuestos!$C$40*IF(Supuestos!$C$37=0,1,0)*('Precios Azure'!$C$6+MAX(0,Supuestos!$C$46*E21*Supuestos!$C$30/1000000-13)*'Precios Azure'!$C$7)</f>
        <v>0</v>
      </c>
      <c r="L21" s="9">
        <f>F21*Supuestos!$C$40*Supuestos!$C$37*730*'Precios Azure'!$C$8</f>
        <v>511.00204399999996</v>
      </c>
      <c r="M21" s="9">
        <f>F21*Supuestos!$C$40*Supuestos!$C$38*730*'Precios Azure'!$C$9</f>
        <v>528.30173583999999</v>
      </c>
      <c r="N21" s="9">
        <f>F21*Supuestos!$C$40*Supuestos!$C$46*E21*(Supuestos!$C$31/1000*'Precios Azure'!$C$10+Supuestos!$C$32/1000*'Precios Azure'!$C$11)</f>
        <v>174.24700321041209</v>
      </c>
      <c r="O21" s="9">
        <f>F21*Supuestos!$C$40*((Supuestos!$C$46*E21*Supuestos!$C$22*Supuestos!$C$28/1000*Supuestos!$C$29/30.4+Supuestos!$C$46*E21*Supuestos!$C$33/1000000*Supuestos!$C$34)*'Precios Azure'!$C$12+Supuestos!$C$46*E21*Supuestos!$C$35/10000*'Precios Azure'!$C$13)</f>
        <v>103.7480922951314</v>
      </c>
      <c r="P21" s="9">
        <f>F21*Supuestos!$C$40*30.4*'Precios Azure'!$C$5</f>
        <v>3.8223851007999996</v>
      </c>
      <c r="Q21" s="9">
        <f>F21*Supuestos!$C$40*MAX(0,Supuestos!$C$36-5)*'Precios Azure'!$C$14</f>
        <v>119.547648</v>
      </c>
      <c r="R21" s="9">
        <f>F21*Supuestos!$C$39*Supuestos!$C$44</f>
        <v>1466.6666666666665</v>
      </c>
      <c r="S21" s="9">
        <f t="shared" si="0"/>
        <v>3164.0913191130094</v>
      </c>
      <c r="T21" s="9">
        <f>D21*Supuestos!$C$19*Supuestos!$C$8</f>
        <v>14400</v>
      </c>
      <c r="U21" s="9">
        <f t="shared" si="1"/>
        <v>11235.908680886991</v>
      </c>
      <c r="V21" s="9">
        <f>SUM($U$2:U21)</f>
        <v>50759.757093155444</v>
      </c>
    </row>
    <row r="22" spans="1:22" x14ac:dyDescent="0.25">
      <c r="A22">
        <v>21</v>
      </c>
      <c r="B22" s="9">
        <f>IF(A22=1,Supuestos!$C$11,IF(A22=2,Supuestos!$C$12,IF(A22=3,Supuestos!$C$13,0)))*Supuestos!$C$45</f>
        <v>0</v>
      </c>
      <c r="C22" s="6">
        <f>IF(A22&lt;Supuestos!$C$15,0,IF(A22&gt;=Supuestos!$C$16,1,0.1+0.9*(A22-Supuestos!$C$15)/(Supuestos!$C$16-Supuestos!$C$15)))</f>
        <v>1</v>
      </c>
      <c r="D22" s="9">
        <f>Supuestos!$C$17*Supuestos!$C$18*C22</f>
        <v>1200</v>
      </c>
      <c r="E22" s="6">
        <f>IF(F22=0,0,IF(D22=0,0.05*Supuestos!$C$18,D22/Supuestos!$C$17))</f>
        <v>0.6</v>
      </c>
      <c r="F22" s="9">
        <f>IF(A22&gt;=Supuestos!$C$14,1,0)</f>
        <v>1</v>
      </c>
      <c r="G22" s="9">
        <f>IF(Supuestos!$C$9*Supuestos!$C$20*E22&gt;0,MAX(Supuestos!$C$25,CEILING(Supuestos!$C$9*Supuestos!$C$20*E22/Supuestos!$C$23,1)+Supuestos!$C$24),Supuestos!$C$25)</f>
        <v>4</v>
      </c>
      <c r="H22" s="9">
        <f>IF(Supuestos!$C$9*Supuestos!$C$21*E22&gt;0,MAX(Supuestos!$C$25,CEILING(Supuestos!$C$9*Supuestos!$C$21*E22/Supuestos!$C$23,1)+Supuestos!$C$24),Supuestos!$C$25)</f>
        <v>2</v>
      </c>
      <c r="I22" s="9">
        <f>F22*Supuestos!$C$40*(G22+H22)*365*Supuestos!$C$48</f>
        <v>249.90892415999997</v>
      </c>
      <c r="J22" s="9">
        <f>F22*Supuestos!$C$40*60*Supuestos!$C$48</f>
        <v>6.8468198399999993</v>
      </c>
      <c r="K22" s="9">
        <f>F22*Supuestos!$C$40*IF(Supuestos!$C$37=0,1,0)*('Precios Azure'!$C$6+MAX(0,Supuestos!$C$46*E22*Supuestos!$C$30/1000000-13)*'Precios Azure'!$C$7)</f>
        <v>0</v>
      </c>
      <c r="L22" s="9">
        <f>F22*Supuestos!$C$40*Supuestos!$C$37*730*'Precios Azure'!$C$8</f>
        <v>511.00204399999996</v>
      </c>
      <c r="M22" s="9">
        <f>F22*Supuestos!$C$40*Supuestos!$C$38*730*'Precios Azure'!$C$9</f>
        <v>528.30173583999999</v>
      </c>
      <c r="N22" s="9">
        <f>F22*Supuestos!$C$40*Supuestos!$C$46*E22*(Supuestos!$C$31/1000*'Precios Azure'!$C$10+Supuestos!$C$32/1000*'Precios Azure'!$C$11)</f>
        <v>174.24700321041209</v>
      </c>
      <c r="O22" s="9">
        <f>F22*Supuestos!$C$40*((Supuestos!$C$46*E22*Supuestos!$C$22*Supuestos!$C$28/1000*Supuestos!$C$29/30.4+Supuestos!$C$46*E22*Supuestos!$C$33/1000000*Supuestos!$C$34)*'Precios Azure'!$C$12+Supuestos!$C$46*E22*Supuestos!$C$35/10000*'Precios Azure'!$C$13)</f>
        <v>103.7480922951314</v>
      </c>
      <c r="P22" s="9">
        <f>F22*Supuestos!$C$40*30.4*'Precios Azure'!$C$5</f>
        <v>3.8223851007999996</v>
      </c>
      <c r="Q22" s="9">
        <f>F22*Supuestos!$C$40*MAX(0,Supuestos!$C$36-5)*'Precios Azure'!$C$14</f>
        <v>119.547648</v>
      </c>
      <c r="R22" s="9">
        <f>F22*Supuestos!$C$39*Supuestos!$C$44</f>
        <v>1466.6666666666665</v>
      </c>
      <c r="S22" s="9">
        <f t="shared" si="0"/>
        <v>3164.0913191130094</v>
      </c>
      <c r="T22" s="9">
        <f>D22*Supuestos!$C$19*Supuestos!$C$8</f>
        <v>14400</v>
      </c>
      <c r="U22" s="9">
        <f t="shared" si="1"/>
        <v>11235.908680886991</v>
      </c>
      <c r="V22" s="9">
        <f>SUM($U$2:U22)</f>
        <v>61995.665774042434</v>
      </c>
    </row>
    <row r="23" spans="1:22" x14ac:dyDescent="0.25">
      <c r="A23">
        <v>22</v>
      </c>
      <c r="B23" s="9">
        <f>IF(A23=1,Supuestos!$C$11,IF(A23=2,Supuestos!$C$12,IF(A23=3,Supuestos!$C$13,0)))*Supuestos!$C$45</f>
        <v>0</v>
      </c>
      <c r="C23" s="6">
        <f>IF(A23&lt;Supuestos!$C$15,0,IF(A23&gt;=Supuestos!$C$16,1,0.1+0.9*(A23-Supuestos!$C$15)/(Supuestos!$C$16-Supuestos!$C$15)))</f>
        <v>1</v>
      </c>
      <c r="D23" s="9">
        <f>Supuestos!$C$17*Supuestos!$C$18*C23</f>
        <v>1200</v>
      </c>
      <c r="E23" s="6">
        <f>IF(F23=0,0,IF(D23=0,0.05*Supuestos!$C$18,D23/Supuestos!$C$17))</f>
        <v>0.6</v>
      </c>
      <c r="F23" s="9">
        <f>IF(A23&gt;=Supuestos!$C$14,1,0)</f>
        <v>1</v>
      </c>
      <c r="G23" s="9">
        <f>IF(Supuestos!$C$9*Supuestos!$C$20*E23&gt;0,MAX(Supuestos!$C$25,CEILING(Supuestos!$C$9*Supuestos!$C$20*E23/Supuestos!$C$23,1)+Supuestos!$C$24),Supuestos!$C$25)</f>
        <v>4</v>
      </c>
      <c r="H23" s="9">
        <f>IF(Supuestos!$C$9*Supuestos!$C$21*E23&gt;0,MAX(Supuestos!$C$25,CEILING(Supuestos!$C$9*Supuestos!$C$21*E23/Supuestos!$C$23,1)+Supuestos!$C$24),Supuestos!$C$25)</f>
        <v>2</v>
      </c>
      <c r="I23" s="9">
        <f>F23*Supuestos!$C$40*(G23+H23)*365*Supuestos!$C$48</f>
        <v>249.90892415999997</v>
      </c>
      <c r="J23" s="9">
        <f>F23*Supuestos!$C$40*60*Supuestos!$C$48</f>
        <v>6.8468198399999993</v>
      </c>
      <c r="K23" s="9">
        <f>F23*Supuestos!$C$40*IF(Supuestos!$C$37=0,1,0)*('Precios Azure'!$C$6+MAX(0,Supuestos!$C$46*E23*Supuestos!$C$30/1000000-13)*'Precios Azure'!$C$7)</f>
        <v>0</v>
      </c>
      <c r="L23" s="9">
        <f>F23*Supuestos!$C$40*Supuestos!$C$37*730*'Precios Azure'!$C$8</f>
        <v>511.00204399999996</v>
      </c>
      <c r="M23" s="9">
        <f>F23*Supuestos!$C$40*Supuestos!$C$38*730*'Precios Azure'!$C$9</f>
        <v>528.30173583999999</v>
      </c>
      <c r="N23" s="9">
        <f>F23*Supuestos!$C$40*Supuestos!$C$46*E23*(Supuestos!$C$31/1000*'Precios Azure'!$C$10+Supuestos!$C$32/1000*'Precios Azure'!$C$11)</f>
        <v>174.24700321041209</v>
      </c>
      <c r="O23" s="9">
        <f>F23*Supuestos!$C$40*((Supuestos!$C$46*E23*Supuestos!$C$22*Supuestos!$C$28/1000*Supuestos!$C$29/30.4+Supuestos!$C$46*E23*Supuestos!$C$33/1000000*Supuestos!$C$34)*'Precios Azure'!$C$12+Supuestos!$C$46*E23*Supuestos!$C$35/10000*'Precios Azure'!$C$13)</f>
        <v>103.7480922951314</v>
      </c>
      <c r="P23" s="9">
        <f>F23*Supuestos!$C$40*30.4*'Precios Azure'!$C$5</f>
        <v>3.8223851007999996</v>
      </c>
      <c r="Q23" s="9">
        <f>F23*Supuestos!$C$40*MAX(0,Supuestos!$C$36-5)*'Precios Azure'!$C$14</f>
        <v>119.547648</v>
      </c>
      <c r="R23" s="9">
        <f>F23*Supuestos!$C$39*Supuestos!$C$44</f>
        <v>1466.6666666666665</v>
      </c>
      <c r="S23" s="9">
        <f t="shared" si="0"/>
        <v>3164.0913191130094</v>
      </c>
      <c r="T23" s="9">
        <f>D23*Supuestos!$C$19*Supuestos!$C$8</f>
        <v>14400</v>
      </c>
      <c r="U23" s="9">
        <f t="shared" si="1"/>
        <v>11235.908680886991</v>
      </c>
      <c r="V23" s="9">
        <f>SUM($U$2:U23)</f>
        <v>73231.574454929418</v>
      </c>
    </row>
    <row r="24" spans="1:22" x14ac:dyDescent="0.25">
      <c r="A24">
        <v>23</v>
      </c>
      <c r="B24" s="9">
        <f>IF(A24=1,Supuestos!$C$11,IF(A24=2,Supuestos!$C$12,IF(A24=3,Supuestos!$C$13,0)))*Supuestos!$C$45</f>
        <v>0</v>
      </c>
      <c r="C24" s="6">
        <f>IF(A24&lt;Supuestos!$C$15,0,IF(A24&gt;=Supuestos!$C$16,1,0.1+0.9*(A24-Supuestos!$C$15)/(Supuestos!$C$16-Supuestos!$C$15)))</f>
        <v>1</v>
      </c>
      <c r="D24" s="9">
        <f>Supuestos!$C$17*Supuestos!$C$18*C24</f>
        <v>1200</v>
      </c>
      <c r="E24" s="6">
        <f>IF(F24=0,0,IF(D24=0,0.05*Supuestos!$C$18,D24/Supuestos!$C$17))</f>
        <v>0.6</v>
      </c>
      <c r="F24" s="9">
        <f>IF(A24&gt;=Supuestos!$C$14,1,0)</f>
        <v>1</v>
      </c>
      <c r="G24" s="9">
        <f>IF(Supuestos!$C$9*Supuestos!$C$20*E24&gt;0,MAX(Supuestos!$C$25,CEILING(Supuestos!$C$9*Supuestos!$C$20*E24/Supuestos!$C$23,1)+Supuestos!$C$24),Supuestos!$C$25)</f>
        <v>4</v>
      </c>
      <c r="H24" s="9">
        <f>IF(Supuestos!$C$9*Supuestos!$C$21*E24&gt;0,MAX(Supuestos!$C$25,CEILING(Supuestos!$C$9*Supuestos!$C$21*E24/Supuestos!$C$23,1)+Supuestos!$C$24),Supuestos!$C$25)</f>
        <v>2</v>
      </c>
      <c r="I24" s="9">
        <f>F24*Supuestos!$C$40*(G24+H24)*365*Supuestos!$C$48</f>
        <v>249.90892415999997</v>
      </c>
      <c r="J24" s="9">
        <f>F24*Supuestos!$C$40*60*Supuestos!$C$48</f>
        <v>6.8468198399999993</v>
      </c>
      <c r="K24" s="9">
        <f>F24*Supuestos!$C$40*IF(Supuestos!$C$37=0,1,0)*('Precios Azure'!$C$6+MAX(0,Supuestos!$C$46*E24*Supuestos!$C$30/1000000-13)*'Precios Azure'!$C$7)</f>
        <v>0</v>
      </c>
      <c r="L24" s="9">
        <f>F24*Supuestos!$C$40*Supuestos!$C$37*730*'Precios Azure'!$C$8</f>
        <v>511.00204399999996</v>
      </c>
      <c r="M24" s="9">
        <f>F24*Supuestos!$C$40*Supuestos!$C$38*730*'Precios Azure'!$C$9</f>
        <v>528.30173583999999</v>
      </c>
      <c r="N24" s="9">
        <f>F24*Supuestos!$C$40*Supuestos!$C$46*E24*(Supuestos!$C$31/1000*'Precios Azure'!$C$10+Supuestos!$C$32/1000*'Precios Azure'!$C$11)</f>
        <v>174.24700321041209</v>
      </c>
      <c r="O24" s="9">
        <f>F24*Supuestos!$C$40*((Supuestos!$C$46*E24*Supuestos!$C$22*Supuestos!$C$28/1000*Supuestos!$C$29/30.4+Supuestos!$C$46*E24*Supuestos!$C$33/1000000*Supuestos!$C$34)*'Precios Azure'!$C$12+Supuestos!$C$46*E24*Supuestos!$C$35/10000*'Precios Azure'!$C$13)</f>
        <v>103.7480922951314</v>
      </c>
      <c r="P24" s="9">
        <f>F24*Supuestos!$C$40*30.4*'Precios Azure'!$C$5</f>
        <v>3.8223851007999996</v>
      </c>
      <c r="Q24" s="9">
        <f>F24*Supuestos!$C$40*MAX(0,Supuestos!$C$36-5)*'Precios Azure'!$C$14</f>
        <v>119.547648</v>
      </c>
      <c r="R24" s="9">
        <f>F24*Supuestos!$C$39*Supuestos!$C$44</f>
        <v>1466.6666666666665</v>
      </c>
      <c r="S24" s="9">
        <f t="shared" si="0"/>
        <v>3164.0913191130094</v>
      </c>
      <c r="T24" s="9">
        <f>D24*Supuestos!$C$19*Supuestos!$C$8</f>
        <v>14400</v>
      </c>
      <c r="U24" s="9">
        <f t="shared" si="1"/>
        <v>11235.908680886991</v>
      </c>
      <c r="V24" s="9">
        <f>SUM($U$2:U24)</f>
        <v>84467.483135816408</v>
      </c>
    </row>
    <row r="25" spans="1:22" x14ac:dyDescent="0.25">
      <c r="A25">
        <v>24</v>
      </c>
      <c r="B25" s="9">
        <f>IF(A25=1,Supuestos!$C$11,IF(A25=2,Supuestos!$C$12,IF(A25=3,Supuestos!$C$13,0)))*Supuestos!$C$45</f>
        <v>0</v>
      </c>
      <c r="C25" s="6">
        <f>IF(A25&lt;Supuestos!$C$15,0,IF(A25&gt;=Supuestos!$C$16,1,0.1+0.9*(A25-Supuestos!$C$15)/(Supuestos!$C$16-Supuestos!$C$15)))</f>
        <v>1</v>
      </c>
      <c r="D25" s="9">
        <f>Supuestos!$C$17*Supuestos!$C$18*C25</f>
        <v>1200</v>
      </c>
      <c r="E25" s="6">
        <f>IF(F25=0,0,IF(D25=0,0.05*Supuestos!$C$18,D25/Supuestos!$C$17))</f>
        <v>0.6</v>
      </c>
      <c r="F25" s="9">
        <f>IF(A25&gt;=Supuestos!$C$14,1,0)</f>
        <v>1</v>
      </c>
      <c r="G25" s="9">
        <f>IF(Supuestos!$C$9*Supuestos!$C$20*E25&gt;0,MAX(Supuestos!$C$25,CEILING(Supuestos!$C$9*Supuestos!$C$20*E25/Supuestos!$C$23,1)+Supuestos!$C$24),Supuestos!$C$25)</f>
        <v>4</v>
      </c>
      <c r="H25" s="9">
        <f>IF(Supuestos!$C$9*Supuestos!$C$21*E25&gt;0,MAX(Supuestos!$C$25,CEILING(Supuestos!$C$9*Supuestos!$C$21*E25/Supuestos!$C$23,1)+Supuestos!$C$24),Supuestos!$C$25)</f>
        <v>2</v>
      </c>
      <c r="I25" s="9">
        <f>F25*Supuestos!$C$40*(G25+H25)*365*Supuestos!$C$48</f>
        <v>249.90892415999997</v>
      </c>
      <c r="J25" s="9">
        <f>F25*Supuestos!$C$40*60*Supuestos!$C$48</f>
        <v>6.8468198399999993</v>
      </c>
      <c r="K25" s="9">
        <f>F25*Supuestos!$C$40*IF(Supuestos!$C$37=0,1,0)*('Precios Azure'!$C$6+MAX(0,Supuestos!$C$46*E25*Supuestos!$C$30/1000000-13)*'Precios Azure'!$C$7)</f>
        <v>0</v>
      </c>
      <c r="L25" s="9">
        <f>F25*Supuestos!$C$40*Supuestos!$C$37*730*'Precios Azure'!$C$8</f>
        <v>511.00204399999996</v>
      </c>
      <c r="M25" s="9">
        <f>F25*Supuestos!$C$40*Supuestos!$C$38*730*'Precios Azure'!$C$9</f>
        <v>528.30173583999999</v>
      </c>
      <c r="N25" s="9">
        <f>F25*Supuestos!$C$40*Supuestos!$C$46*E25*(Supuestos!$C$31/1000*'Precios Azure'!$C$10+Supuestos!$C$32/1000*'Precios Azure'!$C$11)</f>
        <v>174.24700321041209</v>
      </c>
      <c r="O25" s="9">
        <f>F25*Supuestos!$C$40*((Supuestos!$C$46*E25*Supuestos!$C$22*Supuestos!$C$28/1000*Supuestos!$C$29/30.4+Supuestos!$C$46*E25*Supuestos!$C$33/1000000*Supuestos!$C$34)*'Precios Azure'!$C$12+Supuestos!$C$46*E25*Supuestos!$C$35/10000*'Precios Azure'!$C$13)</f>
        <v>103.7480922951314</v>
      </c>
      <c r="P25" s="9">
        <f>F25*Supuestos!$C$40*30.4*'Precios Azure'!$C$5</f>
        <v>3.8223851007999996</v>
      </c>
      <c r="Q25" s="9">
        <f>F25*Supuestos!$C$40*MAX(0,Supuestos!$C$36-5)*'Precios Azure'!$C$14</f>
        <v>119.547648</v>
      </c>
      <c r="R25" s="9">
        <f>F25*Supuestos!$C$39*Supuestos!$C$44</f>
        <v>1466.6666666666665</v>
      </c>
      <c r="S25" s="9">
        <f t="shared" si="0"/>
        <v>3164.0913191130094</v>
      </c>
      <c r="T25" s="9">
        <f>D25*Supuestos!$C$19*Supuestos!$C$8</f>
        <v>14400</v>
      </c>
      <c r="U25" s="9">
        <f t="shared" si="1"/>
        <v>11235.908680886991</v>
      </c>
      <c r="V25" s="9">
        <f>SUM($U$2:U25)</f>
        <v>95703.391816703399</v>
      </c>
    </row>
    <row r="26" spans="1:22" x14ac:dyDescent="0.25">
      <c r="A26">
        <v>25</v>
      </c>
      <c r="B26" s="9">
        <f>IF(A26=1,Supuestos!$C$11,IF(A26=2,Supuestos!$C$12,IF(A26=3,Supuestos!$C$13,0)))*Supuestos!$C$45</f>
        <v>0</v>
      </c>
      <c r="C26" s="6">
        <f>IF(A26&lt;Supuestos!$C$15,0,IF(A26&gt;=Supuestos!$C$16,1,0.1+0.9*(A26-Supuestos!$C$15)/(Supuestos!$C$16-Supuestos!$C$15)))</f>
        <v>1</v>
      </c>
      <c r="D26" s="9">
        <f>Supuestos!$C$17*Supuestos!$C$18*C26</f>
        <v>1200</v>
      </c>
      <c r="E26" s="6">
        <f>IF(F26=0,0,IF(D26=0,0.05*Supuestos!$C$18,D26/Supuestos!$C$17))</f>
        <v>0.6</v>
      </c>
      <c r="F26" s="9">
        <f>IF(A26&gt;=Supuestos!$C$14,1,0)</f>
        <v>1</v>
      </c>
      <c r="G26" s="9">
        <f>IF(Supuestos!$C$9*Supuestos!$C$20*E26&gt;0,MAX(Supuestos!$C$25,CEILING(Supuestos!$C$9*Supuestos!$C$20*E26/Supuestos!$C$23,1)+Supuestos!$C$24),Supuestos!$C$25)</f>
        <v>4</v>
      </c>
      <c r="H26" s="9">
        <f>IF(Supuestos!$C$9*Supuestos!$C$21*E26&gt;0,MAX(Supuestos!$C$25,CEILING(Supuestos!$C$9*Supuestos!$C$21*E26/Supuestos!$C$23,1)+Supuestos!$C$24),Supuestos!$C$25)</f>
        <v>2</v>
      </c>
      <c r="I26" s="9">
        <f>F26*Supuestos!$C$40*(G26+H26)*365*Supuestos!$C$48</f>
        <v>249.90892415999997</v>
      </c>
      <c r="J26" s="9">
        <f>F26*Supuestos!$C$40*60*Supuestos!$C$48</f>
        <v>6.8468198399999993</v>
      </c>
      <c r="K26" s="9">
        <f>F26*Supuestos!$C$40*IF(Supuestos!$C$37=0,1,0)*('Precios Azure'!$C$6+MAX(0,Supuestos!$C$46*E26*Supuestos!$C$30/1000000-13)*'Precios Azure'!$C$7)</f>
        <v>0</v>
      </c>
      <c r="L26" s="9">
        <f>F26*Supuestos!$C$40*Supuestos!$C$37*730*'Precios Azure'!$C$8</f>
        <v>511.00204399999996</v>
      </c>
      <c r="M26" s="9">
        <f>F26*Supuestos!$C$40*Supuestos!$C$38*730*'Precios Azure'!$C$9</f>
        <v>528.30173583999999</v>
      </c>
      <c r="N26" s="9">
        <f>F26*Supuestos!$C$40*Supuestos!$C$46*E26*(Supuestos!$C$31/1000*'Precios Azure'!$C$10+Supuestos!$C$32/1000*'Precios Azure'!$C$11)</f>
        <v>174.24700321041209</v>
      </c>
      <c r="O26" s="9">
        <f>F26*Supuestos!$C$40*((Supuestos!$C$46*E26*Supuestos!$C$22*Supuestos!$C$28/1000*Supuestos!$C$29/30.4+Supuestos!$C$46*E26*Supuestos!$C$33/1000000*Supuestos!$C$34)*'Precios Azure'!$C$12+Supuestos!$C$46*E26*Supuestos!$C$35/10000*'Precios Azure'!$C$13)</f>
        <v>103.7480922951314</v>
      </c>
      <c r="P26" s="9">
        <f>F26*Supuestos!$C$40*30.4*'Precios Azure'!$C$5</f>
        <v>3.8223851007999996</v>
      </c>
      <c r="Q26" s="9">
        <f>F26*Supuestos!$C$40*MAX(0,Supuestos!$C$36-5)*'Precios Azure'!$C$14</f>
        <v>119.547648</v>
      </c>
      <c r="R26" s="9">
        <f>F26*Supuestos!$C$39*Supuestos!$C$44</f>
        <v>1466.6666666666665</v>
      </c>
      <c r="S26" s="9">
        <f t="shared" si="0"/>
        <v>3164.0913191130094</v>
      </c>
      <c r="T26" s="9">
        <f>D26*Supuestos!$C$19*Supuestos!$C$8</f>
        <v>14400</v>
      </c>
      <c r="U26" s="9">
        <f t="shared" si="1"/>
        <v>11235.908680886991</v>
      </c>
      <c r="V26" s="9">
        <f>SUM($U$2:U26)</f>
        <v>106939.30049759039</v>
      </c>
    </row>
    <row r="27" spans="1:22" x14ac:dyDescent="0.25">
      <c r="A27">
        <v>26</v>
      </c>
      <c r="B27" s="9">
        <f>IF(A27=1,Supuestos!$C$11,IF(A27=2,Supuestos!$C$12,IF(A27=3,Supuestos!$C$13,0)))*Supuestos!$C$45</f>
        <v>0</v>
      </c>
      <c r="C27" s="6">
        <f>IF(A27&lt;Supuestos!$C$15,0,IF(A27&gt;=Supuestos!$C$16,1,0.1+0.9*(A27-Supuestos!$C$15)/(Supuestos!$C$16-Supuestos!$C$15)))</f>
        <v>1</v>
      </c>
      <c r="D27" s="9">
        <f>Supuestos!$C$17*Supuestos!$C$18*C27</f>
        <v>1200</v>
      </c>
      <c r="E27" s="6">
        <f>IF(F27=0,0,IF(D27=0,0.05*Supuestos!$C$18,D27/Supuestos!$C$17))</f>
        <v>0.6</v>
      </c>
      <c r="F27" s="9">
        <f>IF(A27&gt;=Supuestos!$C$14,1,0)</f>
        <v>1</v>
      </c>
      <c r="G27" s="9">
        <f>IF(Supuestos!$C$9*Supuestos!$C$20*E27&gt;0,MAX(Supuestos!$C$25,CEILING(Supuestos!$C$9*Supuestos!$C$20*E27/Supuestos!$C$23,1)+Supuestos!$C$24),Supuestos!$C$25)</f>
        <v>4</v>
      </c>
      <c r="H27" s="9">
        <f>IF(Supuestos!$C$9*Supuestos!$C$21*E27&gt;0,MAX(Supuestos!$C$25,CEILING(Supuestos!$C$9*Supuestos!$C$21*E27/Supuestos!$C$23,1)+Supuestos!$C$24),Supuestos!$C$25)</f>
        <v>2</v>
      </c>
      <c r="I27" s="9">
        <f>F27*Supuestos!$C$40*(G27+H27)*365*Supuestos!$C$48</f>
        <v>249.90892415999997</v>
      </c>
      <c r="J27" s="9">
        <f>F27*Supuestos!$C$40*60*Supuestos!$C$48</f>
        <v>6.8468198399999993</v>
      </c>
      <c r="K27" s="9">
        <f>F27*Supuestos!$C$40*IF(Supuestos!$C$37=0,1,0)*('Precios Azure'!$C$6+MAX(0,Supuestos!$C$46*E27*Supuestos!$C$30/1000000-13)*'Precios Azure'!$C$7)</f>
        <v>0</v>
      </c>
      <c r="L27" s="9">
        <f>F27*Supuestos!$C$40*Supuestos!$C$37*730*'Precios Azure'!$C$8</f>
        <v>511.00204399999996</v>
      </c>
      <c r="M27" s="9">
        <f>F27*Supuestos!$C$40*Supuestos!$C$38*730*'Precios Azure'!$C$9</f>
        <v>528.30173583999999</v>
      </c>
      <c r="N27" s="9">
        <f>F27*Supuestos!$C$40*Supuestos!$C$46*E27*(Supuestos!$C$31/1000*'Precios Azure'!$C$10+Supuestos!$C$32/1000*'Precios Azure'!$C$11)</f>
        <v>174.24700321041209</v>
      </c>
      <c r="O27" s="9">
        <f>F27*Supuestos!$C$40*((Supuestos!$C$46*E27*Supuestos!$C$22*Supuestos!$C$28/1000*Supuestos!$C$29/30.4+Supuestos!$C$46*E27*Supuestos!$C$33/1000000*Supuestos!$C$34)*'Precios Azure'!$C$12+Supuestos!$C$46*E27*Supuestos!$C$35/10000*'Precios Azure'!$C$13)</f>
        <v>103.7480922951314</v>
      </c>
      <c r="P27" s="9">
        <f>F27*Supuestos!$C$40*30.4*'Precios Azure'!$C$5</f>
        <v>3.8223851007999996</v>
      </c>
      <c r="Q27" s="9">
        <f>F27*Supuestos!$C$40*MAX(0,Supuestos!$C$36-5)*'Precios Azure'!$C$14</f>
        <v>119.547648</v>
      </c>
      <c r="R27" s="9">
        <f>F27*Supuestos!$C$39*Supuestos!$C$44</f>
        <v>1466.6666666666665</v>
      </c>
      <c r="S27" s="9">
        <f t="shared" si="0"/>
        <v>3164.0913191130094</v>
      </c>
      <c r="T27" s="9">
        <f>D27*Supuestos!$C$19*Supuestos!$C$8</f>
        <v>14400</v>
      </c>
      <c r="U27" s="9">
        <f t="shared" si="1"/>
        <v>11235.908680886991</v>
      </c>
      <c r="V27" s="9">
        <f>SUM($U$2:U27)</f>
        <v>118175.20917847738</v>
      </c>
    </row>
    <row r="28" spans="1:22" x14ac:dyDescent="0.25">
      <c r="A28">
        <v>27</v>
      </c>
      <c r="B28" s="9">
        <f>IF(A28=1,Supuestos!$C$11,IF(A28=2,Supuestos!$C$12,IF(A28=3,Supuestos!$C$13,0)))*Supuestos!$C$45</f>
        <v>0</v>
      </c>
      <c r="C28" s="6">
        <f>IF(A28&lt;Supuestos!$C$15,0,IF(A28&gt;=Supuestos!$C$16,1,0.1+0.9*(A28-Supuestos!$C$15)/(Supuestos!$C$16-Supuestos!$C$15)))</f>
        <v>1</v>
      </c>
      <c r="D28" s="9">
        <f>Supuestos!$C$17*Supuestos!$C$18*C28</f>
        <v>1200</v>
      </c>
      <c r="E28" s="6">
        <f>IF(F28=0,0,IF(D28=0,0.05*Supuestos!$C$18,D28/Supuestos!$C$17))</f>
        <v>0.6</v>
      </c>
      <c r="F28" s="9">
        <f>IF(A28&gt;=Supuestos!$C$14,1,0)</f>
        <v>1</v>
      </c>
      <c r="G28" s="9">
        <f>IF(Supuestos!$C$9*Supuestos!$C$20*E28&gt;0,MAX(Supuestos!$C$25,CEILING(Supuestos!$C$9*Supuestos!$C$20*E28/Supuestos!$C$23,1)+Supuestos!$C$24),Supuestos!$C$25)</f>
        <v>4</v>
      </c>
      <c r="H28" s="9">
        <f>IF(Supuestos!$C$9*Supuestos!$C$21*E28&gt;0,MAX(Supuestos!$C$25,CEILING(Supuestos!$C$9*Supuestos!$C$21*E28/Supuestos!$C$23,1)+Supuestos!$C$24),Supuestos!$C$25)</f>
        <v>2</v>
      </c>
      <c r="I28" s="9">
        <f>F28*Supuestos!$C$40*(G28+H28)*365*Supuestos!$C$48</f>
        <v>249.90892415999997</v>
      </c>
      <c r="J28" s="9">
        <f>F28*Supuestos!$C$40*60*Supuestos!$C$48</f>
        <v>6.8468198399999993</v>
      </c>
      <c r="K28" s="9">
        <f>F28*Supuestos!$C$40*IF(Supuestos!$C$37=0,1,0)*('Precios Azure'!$C$6+MAX(0,Supuestos!$C$46*E28*Supuestos!$C$30/1000000-13)*'Precios Azure'!$C$7)</f>
        <v>0</v>
      </c>
      <c r="L28" s="9">
        <f>F28*Supuestos!$C$40*Supuestos!$C$37*730*'Precios Azure'!$C$8</f>
        <v>511.00204399999996</v>
      </c>
      <c r="M28" s="9">
        <f>F28*Supuestos!$C$40*Supuestos!$C$38*730*'Precios Azure'!$C$9</f>
        <v>528.30173583999999</v>
      </c>
      <c r="N28" s="9">
        <f>F28*Supuestos!$C$40*Supuestos!$C$46*E28*(Supuestos!$C$31/1000*'Precios Azure'!$C$10+Supuestos!$C$32/1000*'Precios Azure'!$C$11)</f>
        <v>174.24700321041209</v>
      </c>
      <c r="O28" s="9">
        <f>F28*Supuestos!$C$40*((Supuestos!$C$46*E28*Supuestos!$C$22*Supuestos!$C$28/1000*Supuestos!$C$29/30.4+Supuestos!$C$46*E28*Supuestos!$C$33/1000000*Supuestos!$C$34)*'Precios Azure'!$C$12+Supuestos!$C$46*E28*Supuestos!$C$35/10000*'Precios Azure'!$C$13)</f>
        <v>103.7480922951314</v>
      </c>
      <c r="P28" s="9">
        <f>F28*Supuestos!$C$40*30.4*'Precios Azure'!$C$5</f>
        <v>3.8223851007999996</v>
      </c>
      <c r="Q28" s="9">
        <f>F28*Supuestos!$C$40*MAX(0,Supuestos!$C$36-5)*'Precios Azure'!$C$14</f>
        <v>119.547648</v>
      </c>
      <c r="R28" s="9">
        <f>F28*Supuestos!$C$39*Supuestos!$C$44</f>
        <v>1466.6666666666665</v>
      </c>
      <c r="S28" s="9">
        <f t="shared" si="0"/>
        <v>3164.0913191130094</v>
      </c>
      <c r="T28" s="9">
        <f>D28*Supuestos!$C$19*Supuestos!$C$8</f>
        <v>14400</v>
      </c>
      <c r="U28" s="9">
        <f t="shared" si="1"/>
        <v>11235.908680886991</v>
      </c>
      <c r="V28" s="9">
        <f>SUM($U$2:U28)</f>
        <v>129411.11785936437</v>
      </c>
    </row>
    <row r="29" spans="1:22" x14ac:dyDescent="0.25">
      <c r="A29">
        <v>28</v>
      </c>
      <c r="B29" s="9">
        <f>IF(A29=1,Supuestos!$C$11,IF(A29=2,Supuestos!$C$12,IF(A29=3,Supuestos!$C$13,0)))*Supuestos!$C$45</f>
        <v>0</v>
      </c>
      <c r="C29" s="6">
        <f>IF(A29&lt;Supuestos!$C$15,0,IF(A29&gt;=Supuestos!$C$16,1,0.1+0.9*(A29-Supuestos!$C$15)/(Supuestos!$C$16-Supuestos!$C$15)))</f>
        <v>1</v>
      </c>
      <c r="D29" s="9">
        <f>Supuestos!$C$17*Supuestos!$C$18*C29</f>
        <v>1200</v>
      </c>
      <c r="E29" s="6">
        <f>IF(F29=0,0,IF(D29=0,0.05*Supuestos!$C$18,D29/Supuestos!$C$17))</f>
        <v>0.6</v>
      </c>
      <c r="F29" s="9">
        <f>IF(A29&gt;=Supuestos!$C$14,1,0)</f>
        <v>1</v>
      </c>
      <c r="G29" s="9">
        <f>IF(Supuestos!$C$9*Supuestos!$C$20*E29&gt;0,MAX(Supuestos!$C$25,CEILING(Supuestos!$C$9*Supuestos!$C$20*E29/Supuestos!$C$23,1)+Supuestos!$C$24),Supuestos!$C$25)</f>
        <v>4</v>
      </c>
      <c r="H29" s="9">
        <f>IF(Supuestos!$C$9*Supuestos!$C$21*E29&gt;0,MAX(Supuestos!$C$25,CEILING(Supuestos!$C$9*Supuestos!$C$21*E29/Supuestos!$C$23,1)+Supuestos!$C$24),Supuestos!$C$25)</f>
        <v>2</v>
      </c>
      <c r="I29" s="9">
        <f>F29*Supuestos!$C$40*(G29+H29)*365*Supuestos!$C$48</f>
        <v>249.90892415999997</v>
      </c>
      <c r="J29" s="9">
        <f>F29*Supuestos!$C$40*60*Supuestos!$C$48</f>
        <v>6.8468198399999993</v>
      </c>
      <c r="K29" s="9">
        <f>F29*Supuestos!$C$40*IF(Supuestos!$C$37=0,1,0)*('Precios Azure'!$C$6+MAX(0,Supuestos!$C$46*E29*Supuestos!$C$30/1000000-13)*'Precios Azure'!$C$7)</f>
        <v>0</v>
      </c>
      <c r="L29" s="9">
        <f>F29*Supuestos!$C$40*Supuestos!$C$37*730*'Precios Azure'!$C$8</f>
        <v>511.00204399999996</v>
      </c>
      <c r="M29" s="9">
        <f>F29*Supuestos!$C$40*Supuestos!$C$38*730*'Precios Azure'!$C$9</f>
        <v>528.30173583999999</v>
      </c>
      <c r="N29" s="9">
        <f>F29*Supuestos!$C$40*Supuestos!$C$46*E29*(Supuestos!$C$31/1000*'Precios Azure'!$C$10+Supuestos!$C$32/1000*'Precios Azure'!$C$11)</f>
        <v>174.24700321041209</v>
      </c>
      <c r="O29" s="9">
        <f>F29*Supuestos!$C$40*((Supuestos!$C$46*E29*Supuestos!$C$22*Supuestos!$C$28/1000*Supuestos!$C$29/30.4+Supuestos!$C$46*E29*Supuestos!$C$33/1000000*Supuestos!$C$34)*'Precios Azure'!$C$12+Supuestos!$C$46*E29*Supuestos!$C$35/10000*'Precios Azure'!$C$13)</f>
        <v>103.7480922951314</v>
      </c>
      <c r="P29" s="9">
        <f>F29*Supuestos!$C$40*30.4*'Precios Azure'!$C$5</f>
        <v>3.8223851007999996</v>
      </c>
      <c r="Q29" s="9">
        <f>F29*Supuestos!$C$40*MAX(0,Supuestos!$C$36-5)*'Precios Azure'!$C$14</f>
        <v>119.547648</v>
      </c>
      <c r="R29" s="9">
        <f>F29*Supuestos!$C$39*Supuestos!$C$44</f>
        <v>1466.6666666666665</v>
      </c>
      <c r="S29" s="9">
        <f t="shared" si="0"/>
        <v>3164.0913191130094</v>
      </c>
      <c r="T29" s="9">
        <f>D29*Supuestos!$C$19*Supuestos!$C$8</f>
        <v>14400</v>
      </c>
      <c r="U29" s="9">
        <f t="shared" si="1"/>
        <v>11235.908680886991</v>
      </c>
      <c r="V29" s="9">
        <f>SUM($U$2:U29)</f>
        <v>140647.02654025136</v>
      </c>
    </row>
    <row r="30" spans="1:22" x14ac:dyDescent="0.25">
      <c r="A30">
        <v>29</v>
      </c>
      <c r="B30" s="9">
        <f>IF(A30=1,Supuestos!$C$11,IF(A30=2,Supuestos!$C$12,IF(A30=3,Supuestos!$C$13,0)))*Supuestos!$C$45</f>
        <v>0</v>
      </c>
      <c r="C30" s="6">
        <f>IF(A30&lt;Supuestos!$C$15,0,IF(A30&gt;=Supuestos!$C$16,1,0.1+0.9*(A30-Supuestos!$C$15)/(Supuestos!$C$16-Supuestos!$C$15)))</f>
        <v>1</v>
      </c>
      <c r="D30" s="9">
        <f>Supuestos!$C$17*Supuestos!$C$18*C30</f>
        <v>1200</v>
      </c>
      <c r="E30" s="6">
        <f>IF(F30=0,0,IF(D30=0,0.05*Supuestos!$C$18,D30/Supuestos!$C$17))</f>
        <v>0.6</v>
      </c>
      <c r="F30" s="9">
        <f>IF(A30&gt;=Supuestos!$C$14,1,0)</f>
        <v>1</v>
      </c>
      <c r="G30" s="9">
        <f>IF(Supuestos!$C$9*Supuestos!$C$20*E30&gt;0,MAX(Supuestos!$C$25,CEILING(Supuestos!$C$9*Supuestos!$C$20*E30/Supuestos!$C$23,1)+Supuestos!$C$24),Supuestos!$C$25)</f>
        <v>4</v>
      </c>
      <c r="H30" s="9">
        <f>IF(Supuestos!$C$9*Supuestos!$C$21*E30&gt;0,MAX(Supuestos!$C$25,CEILING(Supuestos!$C$9*Supuestos!$C$21*E30/Supuestos!$C$23,1)+Supuestos!$C$24),Supuestos!$C$25)</f>
        <v>2</v>
      </c>
      <c r="I30" s="9">
        <f>F30*Supuestos!$C$40*(G30+H30)*365*Supuestos!$C$48</f>
        <v>249.90892415999997</v>
      </c>
      <c r="J30" s="9">
        <f>F30*Supuestos!$C$40*60*Supuestos!$C$48</f>
        <v>6.8468198399999993</v>
      </c>
      <c r="K30" s="9">
        <f>F30*Supuestos!$C$40*IF(Supuestos!$C$37=0,1,0)*('Precios Azure'!$C$6+MAX(0,Supuestos!$C$46*E30*Supuestos!$C$30/1000000-13)*'Precios Azure'!$C$7)</f>
        <v>0</v>
      </c>
      <c r="L30" s="9">
        <f>F30*Supuestos!$C$40*Supuestos!$C$37*730*'Precios Azure'!$C$8</f>
        <v>511.00204399999996</v>
      </c>
      <c r="M30" s="9">
        <f>F30*Supuestos!$C$40*Supuestos!$C$38*730*'Precios Azure'!$C$9</f>
        <v>528.30173583999999</v>
      </c>
      <c r="N30" s="9">
        <f>F30*Supuestos!$C$40*Supuestos!$C$46*E30*(Supuestos!$C$31/1000*'Precios Azure'!$C$10+Supuestos!$C$32/1000*'Precios Azure'!$C$11)</f>
        <v>174.24700321041209</v>
      </c>
      <c r="O30" s="9">
        <f>F30*Supuestos!$C$40*((Supuestos!$C$46*E30*Supuestos!$C$22*Supuestos!$C$28/1000*Supuestos!$C$29/30.4+Supuestos!$C$46*E30*Supuestos!$C$33/1000000*Supuestos!$C$34)*'Precios Azure'!$C$12+Supuestos!$C$46*E30*Supuestos!$C$35/10000*'Precios Azure'!$C$13)</f>
        <v>103.7480922951314</v>
      </c>
      <c r="P30" s="9">
        <f>F30*Supuestos!$C$40*30.4*'Precios Azure'!$C$5</f>
        <v>3.8223851007999996</v>
      </c>
      <c r="Q30" s="9">
        <f>F30*Supuestos!$C$40*MAX(0,Supuestos!$C$36-5)*'Precios Azure'!$C$14</f>
        <v>119.547648</v>
      </c>
      <c r="R30" s="9">
        <f>F30*Supuestos!$C$39*Supuestos!$C$44</f>
        <v>1466.6666666666665</v>
      </c>
      <c r="S30" s="9">
        <f t="shared" si="0"/>
        <v>3164.0913191130094</v>
      </c>
      <c r="T30" s="9">
        <f>D30*Supuestos!$C$19*Supuestos!$C$8</f>
        <v>14400</v>
      </c>
      <c r="U30" s="9">
        <f t="shared" si="1"/>
        <v>11235.908680886991</v>
      </c>
      <c r="V30" s="9">
        <f>SUM($U$2:U30)</f>
        <v>151882.93522113835</v>
      </c>
    </row>
    <row r="31" spans="1:22" x14ac:dyDescent="0.25">
      <c r="A31">
        <v>30</v>
      </c>
      <c r="B31" s="9">
        <f>IF(A31=1,Supuestos!$C$11,IF(A31=2,Supuestos!$C$12,IF(A31=3,Supuestos!$C$13,0)))*Supuestos!$C$45</f>
        <v>0</v>
      </c>
      <c r="C31" s="6">
        <f>IF(A31&lt;Supuestos!$C$15,0,IF(A31&gt;=Supuestos!$C$16,1,0.1+0.9*(A31-Supuestos!$C$15)/(Supuestos!$C$16-Supuestos!$C$15)))</f>
        <v>1</v>
      </c>
      <c r="D31" s="9">
        <f>Supuestos!$C$17*Supuestos!$C$18*C31</f>
        <v>1200</v>
      </c>
      <c r="E31" s="6">
        <f>IF(F31=0,0,IF(D31=0,0.05*Supuestos!$C$18,D31/Supuestos!$C$17))</f>
        <v>0.6</v>
      </c>
      <c r="F31" s="9">
        <f>IF(A31&gt;=Supuestos!$C$14,1,0)</f>
        <v>1</v>
      </c>
      <c r="G31" s="9">
        <f>IF(Supuestos!$C$9*Supuestos!$C$20*E31&gt;0,MAX(Supuestos!$C$25,CEILING(Supuestos!$C$9*Supuestos!$C$20*E31/Supuestos!$C$23,1)+Supuestos!$C$24),Supuestos!$C$25)</f>
        <v>4</v>
      </c>
      <c r="H31" s="9">
        <f>IF(Supuestos!$C$9*Supuestos!$C$21*E31&gt;0,MAX(Supuestos!$C$25,CEILING(Supuestos!$C$9*Supuestos!$C$21*E31/Supuestos!$C$23,1)+Supuestos!$C$24),Supuestos!$C$25)</f>
        <v>2</v>
      </c>
      <c r="I31" s="9">
        <f>F31*Supuestos!$C$40*(G31+H31)*365*Supuestos!$C$48</f>
        <v>249.90892415999997</v>
      </c>
      <c r="J31" s="9">
        <f>F31*Supuestos!$C$40*60*Supuestos!$C$48</f>
        <v>6.8468198399999993</v>
      </c>
      <c r="K31" s="9">
        <f>F31*Supuestos!$C$40*IF(Supuestos!$C$37=0,1,0)*('Precios Azure'!$C$6+MAX(0,Supuestos!$C$46*E31*Supuestos!$C$30/1000000-13)*'Precios Azure'!$C$7)</f>
        <v>0</v>
      </c>
      <c r="L31" s="9">
        <f>F31*Supuestos!$C$40*Supuestos!$C$37*730*'Precios Azure'!$C$8</f>
        <v>511.00204399999996</v>
      </c>
      <c r="M31" s="9">
        <f>F31*Supuestos!$C$40*Supuestos!$C$38*730*'Precios Azure'!$C$9</f>
        <v>528.30173583999999</v>
      </c>
      <c r="N31" s="9">
        <f>F31*Supuestos!$C$40*Supuestos!$C$46*E31*(Supuestos!$C$31/1000*'Precios Azure'!$C$10+Supuestos!$C$32/1000*'Precios Azure'!$C$11)</f>
        <v>174.24700321041209</v>
      </c>
      <c r="O31" s="9">
        <f>F31*Supuestos!$C$40*((Supuestos!$C$46*E31*Supuestos!$C$22*Supuestos!$C$28/1000*Supuestos!$C$29/30.4+Supuestos!$C$46*E31*Supuestos!$C$33/1000000*Supuestos!$C$34)*'Precios Azure'!$C$12+Supuestos!$C$46*E31*Supuestos!$C$35/10000*'Precios Azure'!$C$13)</f>
        <v>103.7480922951314</v>
      </c>
      <c r="P31" s="9">
        <f>F31*Supuestos!$C$40*30.4*'Precios Azure'!$C$5</f>
        <v>3.8223851007999996</v>
      </c>
      <c r="Q31" s="9">
        <f>F31*Supuestos!$C$40*MAX(0,Supuestos!$C$36-5)*'Precios Azure'!$C$14</f>
        <v>119.547648</v>
      </c>
      <c r="R31" s="9">
        <f>F31*Supuestos!$C$39*Supuestos!$C$44</f>
        <v>1466.6666666666665</v>
      </c>
      <c r="S31" s="9">
        <f t="shared" si="0"/>
        <v>3164.0913191130094</v>
      </c>
      <c r="T31" s="9">
        <f>D31*Supuestos!$C$19*Supuestos!$C$8</f>
        <v>14400</v>
      </c>
      <c r="U31" s="9">
        <f t="shared" si="1"/>
        <v>11235.908680886991</v>
      </c>
      <c r="V31" s="9">
        <f>SUM($U$2:U31)</f>
        <v>163118.84390202534</v>
      </c>
    </row>
    <row r="32" spans="1:22" x14ac:dyDescent="0.25">
      <c r="A32">
        <v>31</v>
      </c>
      <c r="B32" s="9">
        <f>IF(A32=1,Supuestos!$C$11,IF(A32=2,Supuestos!$C$12,IF(A32=3,Supuestos!$C$13,0)))*Supuestos!$C$45</f>
        <v>0</v>
      </c>
      <c r="C32" s="6">
        <f>IF(A32&lt;Supuestos!$C$15,0,IF(A32&gt;=Supuestos!$C$16,1,0.1+0.9*(A32-Supuestos!$C$15)/(Supuestos!$C$16-Supuestos!$C$15)))</f>
        <v>1</v>
      </c>
      <c r="D32" s="9">
        <f>Supuestos!$C$17*Supuestos!$C$18*C32</f>
        <v>1200</v>
      </c>
      <c r="E32" s="6">
        <f>IF(F32=0,0,IF(D32=0,0.05*Supuestos!$C$18,D32/Supuestos!$C$17))</f>
        <v>0.6</v>
      </c>
      <c r="F32" s="9">
        <f>IF(A32&gt;=Supuestos!$C$14,1,0)</f>
        <v>1</v>
      </c>
      <c r="G32" s="9">
        <f>IF(Supuestos!$C$9*Supuestos!$C$20*E32&gt;0,MAX(Supuestos!$C$25,CEILING(Supuestos!$C$9*Supuestos!$C$20*E32/Supuestos!$C$23,1)+Supuestos!$C$24),Supuestos!$C$25)</f>
        <v>4</v>
      </c>
      <c r="H32" s="9">
        <f>IF(Supuestos!$C$9*Supuestos!$C$21*E32&gt;0,MAX(Supuestos!$C$25,CEILING(Supuestos!$C$9*Supuestos!$C$21*E32/Supuestos!$C$23,1)+Supuestos!$C$24),Supuestos!$C$25)</f>
        <v>2</v>
      </c>
      <c r="I32" s="9">
        <f>F32*Supuestos!$C$40*(G32+H32)*365*Supuestos!$C$48</f>
        <v>249.90892415999997</v>
      </c>
      <c r="J32" s="9">
        <f>F32*Supuestos!$C$40*60*Supuestos!$C$48</f>
        <v>6.8468198399999993</v>
      </c>
      <c r="K32" s="9">
        <f>F32*Supuestos!$C$40*IF(Supuestos!$C$37=0,1,0)*('Precios Azure'!$C$6+MAX(0,Supuestos!$C$46*E32*Supuestos!$C$30/1000000-13)*'Precios Azure'!$C$7)</f>
        <v>0</v>
      </c>
      <c r="L32" s="9">
        <f>F32*Supuestos!$C$40*Supuestos!$C$37*730*'Precios Azure'!$C$8</f>
        <v>511.00204399999996</v>
      </c>
      <c r="M32" s="9">
        <f>F32*Supuestos!$C$40*Supuestos!$C$38*730*'Precios Azure'!$C$9</f>
        <v>528.30173583999999</v>
      </c>
      <c r="N32" s="9">
        <f>F32*Supuestos!$C$40*Supuestos!$C$46*E32*(Supuestos!$C$31/1000*'Precios Azure'!$C$10+Supuestos!$C$32/1000*'Precios Azure'!$C$11)</f>
        <v>174.24700321041209</v>
      </c>
      <c r="O32" s="9">
        <f>F32*Supuestos!$C$40*((Supuestos!$C$46*E32*Supuestos!$C$22*Supuestos!$C$28/1000*Supuestos!$C$29/30.4+Supuestos!$C$46*E32*Supuestos!$C$33/1000000*Supuestos!$C$34)*'Precios Azure'!$C$12+Supuestos!$C$46*E32*Supuestos!$C$35/10000*'Precios Azure'!$C$13)</f>
        <v>103.7480922951314</v>
      </c>
      <c r="P32" s="9">
        <f>F32*Supuestos!$C$40*30.4*'Precios Azure'!$C$5</f>
        <v>3.8223851007999996</v>
      </c>
      <c r="Q32" s="9">
        <f>F32*Supuestos!$C$40*MAX(0,Supuestos!$C$36-5)*'Precios Azure'!$C$14</f>
        <v>119.547648</v>
      </c>
      <c r="R32" s="9">
        <f>F32*Supuestos!$C$39*Supuestos!$C$44</f>
        <v>1466.6666666666665</v>
      </c>
      <c r="S32" s="9">
        <f t="shared" si="0"/>
        <v>3164.0913191130094</v>
      </c>
      <c r="T32" s="9">
        <f>D32*Supuestos!$C$19*Supuestos!$C$8</f>
        <v>14400</v>
      </c>
      <c r="U32" s="9">
        <f t="shared" si="1"/>
        <v>11235.908680886991</v>
      </c>
      <c r="V32" s="9">
        <f>SUM($U$2:U32)</f>
        <v>174354.75258291233</v>
      </c>
    </row>
    <row r="33" spans="1:22" x14ac:dyDescent="0.25">
      <c r="A33">
        <v>32</v>
      </c>
      <c r="B33" s="9">
        <f>IF(A33=1,Supuestos!$C$11,IF(A33=2,Supuestos!$C$12,IF(A33=3,Supuestos!$C$13,0)))*Supuestos!$C$45</f>
        <v>0</v>
      </c>
      <c r="C33" s="6">
        <f>IF(A33&lt;Supuestos!$C$15,0,IF(A33&gt;=Supuestos!$C$16,1,0.1+0.9*(A33-Supuestos!$C$15)/(Supuestos!$C$16-Supuestos!$C$15)))</f>
        <v>1</v>
      </c>
      <c r="D33" s="9">
        <f>Supuestos!$C$17*Supuestos!$C$18*C33</f>
        <v>1200</v>
      </c>
      <c r="E33" s="6">
        <f>IF(F33=0,0,IF(D33=0,0.05*Supuestos!$C$18,D33/Supuestos!$C$17))</f>
        <v>0.6</v>
      </c>
      <c r="F33" s="9">
        <f>IF(A33&gt;=Supuestos!$C$14,1,0)</f>
        <v>1</v>
      </c>
      <c r="G33" s="9">
        <f>IF(Supuestos!$C$9*Supuestos!$C$20*E33&gt;0,MAX(Supuestos!$C$25,CEILING(Supuestos!$C$9*Supuestos!$C$20*E33/Supuestos!$C$23,1)+Supuestos!$C$24),Supuestos!$C$25)</f>
        <v>4</v>
      </c>
      <c r="H33" s="9">
        <f>IF(Supuestos!$C$9*Supuestos!$C$21*E33&gt;0,MAX(Supuestos!$C$25,CEILING(Supuestos!$C$9*Supuestos!$C$21*E33/Supuestos!$C$23,1)+Supuestos!$C$24),Supuestos!$C$25)</f>
        <v>2</v>
      </c>
      <c r="I33" s="9">
        <f>F33*Supuestos!$C$40*(G33+H33)*365*Supuestos!$C$48</f>
        <v>249.90892415999997</v>
      </c>
      <c r="J33" s="9">
        <f>F33*Supuestos!$C$40*60*Supuestos!$C$48</f>
        <v>6.8468198399999993</v>
      </c>
      <c r="K33" s="9">
        <f>F33*Supuestos!$C$40*IF(Supuestos!$C$37=0,1,0)*('Precios Azure'!$C$6+MAX(0,Supuestos!$C$46*E33*Supuestos!$C$30/1000000-13)*'Precios Azure'!$C$7)</f>
        <v>0</v>
      </c>
      <c r="L33" s="9">
        <f>F33*Supuestos!$C$40*Supuestos!$C$37*730*'Precios Azure'!$C$8</f>
        <v>511.00204399999996</v>
      </c>
      <c r="M33" s="9">
        <f>F33*Supuestos!$C$40*Supuestos!$C$38*730*'Precios Azure'!$C$9</f>
        <v>528.30173583999999</v>
      </c>
      <c r="N33" s="9">
        <f>F33*Supuestos!$C$40*Supuestos!$C$46*E33*(Supuestos!$C$31/1000*'Precios Azure'!$C$10+Supuestos!$C$32/1000*'Precios Azure'!$C$11)</f>
        <v>174.24700321041209</v>
      </c>
      <c r="O33" s="9">
        <f>F33*Supuestos!$C$40*((Supuestos!$C$46*E33*Supuestos!$C$22*Supuestos!$C$28/1000*Supuestos!$C$29/30.4+Supuestos!$C$46*E33*Supuestos!$C$33/1000000*Supuestos!$C$34)*'Precios Azure'!$C$12+Supuestos!$C$46*E33*Supuestos!$C$35/10000*'Precios Azure'!$C$13)</f>
        <v>103.7480922951314</v>
      </c>
      <c r="P33" s="9">
        <f>F33*Supuestos!$C$40*30.4*'Precios Azure'!$C$5</f>
        <v>3.8223851007999996</v>
      </c>
      <c r="Q33" s="9">
        <f>F33*Supuestos!$C$40*MAX(0,Supuestos!$C$36-5)*'Precios Azure'!$C$14</f>
        <v>119.547648</v>
      </c>
      <c r="R33" s="9">
        <f>F33*Supuestos!$C$39*Supuestos!$C$44</f>
        <v>1466.6666666666665</v>
      </c>
      <c r="S33" s="9">
        <f t="shared" si="0"/>
        <v>3164.0913191130094</v>
      </c>
      <c r="T33" s="9">
        <f>D33*Supuestos!$C$19*Supuestos!$C$8</f>
        <v>14400</v>
      </c>
      <c r="U33" s="9">
        <f t="shared" si="1"/>
        <v>11235.908680886991</v>
      </c>
      <c r="V33" s="9">
        <f>SUM($U$2:U33)</f>
        <v>185590.66126379932</v>
      </c>
    </row>
    <row r="34" spans="1:22" x14ac:dyDescent="0.25">
      <c r="A34">
        <v>33</v>
      </c>
      <c r="B34" s="9">
        <f>IF(A34=1,Supuestos!$C$11,IF(A34=2,Supuestos!$C$12,IF(A34=3,Supuestos!$C$13,0)))*Supuestos!$C$45</f>
        <v>0</v>
      </c>
      <c r="C34" s="6">
        <f>IF(A34&lt;Supuestos!$C$15,0,IF(A34&gt;=Supuestos!$C$16,1,0.1+0.9*(A34-Supuestos!$C$15)/(Supuestos!$C$16-Supuestos!$C$15)))</f>
        <v>1</v>
      </c>
      <c r="D34" s="9">
        <f>Supuestos!$C$17*Supuestos!$C$18*C34</f>
        <v>1200</v>
      </c>
      <c r="E34" s="6">
        <f>IF(F34=0,0,IF(D34=0,0.05*Supuestos!$C$18,D34/Supuestos!$C$17))</f>
        <v>0.6</v>
      </c>
      <c r="F34" s="9">
        <f>IF(A34&gt;=Supuestos!$C$14,1,0)</f>
        <v>1</v>
      </c>
      <c r="G34" s="9">
        <f>IF(Supuestos!$C$9*Supuestos!$C$20*E34&gt;0,MAX(Supuestos!$C$25,CEILING(Supuestos!$C$9*Supuestos!$C$20*E34/Supuestos!$C$23,1)+Supuestos!$C$24),Supuestos!$C$25)</f>
        <v>4</v>
      </c>
      <c r="H34" s="9">
        <f>IF(Supuestos!$C$9*Supuestos!$C$21*E34&gt;0,MAX(Supuestos!$C$25,CEILING(Supuestos!$C$9*Supuestos!$C$21*E34/Supuestos!$C$23,1)+Supuestos!$C$24),Supuestos!$C$25)</f>
        <v>2</v>
      </c>
      <c r="I34" s="9">
        <f>F34*Supuestos!$C$40*(G34+H34)*365*Supuestos!$C$48</f>
        <v>249.90892415999997</v>
      </c>
      <c r="J34" s="9">
        <f>F34*Supuestos!$C$40*60*Supuestos!$C$48</f>
        <v>6.8468198399999993</v>
      </c>
      <c r="K34" s="9">
        <f>F34*Supuestos!$C$40*IF(Supuestos!$C$37=0,1,0)*('Precios Azure'!$C$6+MAX(0,Supuestos!$C$46*E34*Supuestos!$C$30/1000000-13)*'Precios Azure'!$C$7)</f>
        <v>0</v>
      </c>
      <c r="L34" s="9">
        <f>F34*Supuestos!$C$40*Supuestos!$C$37*730*'Precios Azure'!$C$8</f>
        <v>511.00204399999996</v>
      </c>
      <c r="M34" s="9">
        <f>F34*Supuestos!$C$40*Supuestos!$C$38*730*'Precios Azure'!$C$9</f>
        <v>528.30173583999999</v>
      </c>
      <c r="N34" s="9">
        <f>F34*Supuestos!$C$40*Supuestos!$C$46*E34*(Supuestos!$C$31/1000*'Precios Azure'!$C$10+Supuestos!$C$32/1000*'Precios Azure'!$C$11)</f>
        <v>174.24700321041209</v>
      </c>
      <c r="O34" s="9">
        <f>F34*Supuestos!$C$40*((Supuestos!$C$46*E34*Supuestos!$C$22*Supuestos!$C$28/1000*Supuestos!$C$29/30.4+Supuestos!$C$46*E34*Supuestos!$C$33/1000000*Supuestos!$C$34)*'Precios Azure'!$C$12+Supuestos!$C$46*E34*Supuestos!$C$35/10000*'Precios Azure'!$C$13)</f>
        <v>103.7480922951314</v>
      </c>
      <c r="P34" s="9">
        <f>F34*Supuestos!$C$40*30.4*'Precios Azure'!$C$5</f>
        <v>3.8223851007999996</v>
      </c>
      <c r="Q34" s="9">
        <f>F34*Supuestos!$C$40*MAX(0,Supuestos!$C$36-5)*'Precios Azure'!$C$14</f>
        <v>119.547648</v>
      </c>
      <c r="R34" s="9">
        <f>F34*Supuestos!$C$39*Supuestos!$C$44</f>
        <v>1466.6666666666665</v>
      </c>
      <c r="S34" s="9">
        <f t="shared" si="0"/>
        <v>3164.0913191130094</v>
      </c>
      <c r="T34" s="9">
        <f>D34*Supuestos!$C$19*Supuestos!$C$8</f>
        <v>14400</v>
      </c>
      <c r="U34" s="9">
        <f t="shared" si="1"/>
        <v>11235.908680886991</v>
      </c>
      <c r="V34" s="9">
        <f>SUM($U$2:U34)</f>
        <v>196826.56994468631</v>
      </c>
    </row>
    <row r="35" spans="1:22" x14ac:dyDescent="0.25">
      <c r="A35">
        <v>34</v>
      </c>
      <c r="B35" s="9">
        <f>IF(A35=1,Supuestos!$C$11,IF(A35=2,Supuestos!$C$12,IF(A35=3,Supuestos!$C$13,0)))*Supuestos!$C$45</f>
        <v>0</v>
      </c>
      <c r="C35" s="6">
        <f>IF(A35&lt;Supuestos!$C$15,0,IF(A35&gt;=Supuestos!$C$16,1,0.1+0.9*(A35-Supuestos!$C$15)/(Supuestos!$C$16-Supuestos!$C$15)))</f>
        <v>1</v>
      </c>
      <c r="D35" s="9">
        <f>Supuestos!$C$17*Supuestos!$C$18*C35</f>
        <v>1200</v>
      </c>
      <c r="E35" s="6">
        <f>IF(F35=0,0,IF(D35=0,0.05*Supuestos!$C$18,D35/Supuestos!$C$17))</f>
        <v>0.6</v>
      </c>
      <c r="F35" s="9">
        <f>IF(A35&gt;=Supuestos!$C$14,1,0)</f>
        <v>1</v>
      </c>
      <c r="G35" s="9">
        <f>IF(Supuestos!$C$9*Supuestos!$C$20*E35&gt;0,MAX(Supuestos!$C$25,CEILING(Supuestos!$C$9*Supuestos!$C$20*E35/Supuestos!$C$23,1)+Supuestos!$C$24),Supuestos!$C$25)</f>
        <v>4</v>
      </c>
      <c r="H35" s="9">
        <f>IF(Supuestos!$C$9*Supuestos!$C$21*E35&gt;0,MAX(Supuestos!$C$25,CEILING(Supuestos!$C$9*Supuestos!$C$21*E35/Supuestos!$C$23,1)+Supuestos!$C$24),Supuestos!$C$25)</f>
        <v>2</v>
      </c>
      <c r="I35" s="9">
        <f>F35*Supuestos!$C$40*(G35+H35)*365*Supuestos!$C$48</f>
        <v>249.90892415999997</v>
      </c>
      <c r="J35" s="9">
        <f>F35*Supuestos!$C$40*60*Supuestos!$C$48</f>
        <v>6.8468198399999993</v>
      </c>
      <c r="K35" s="9">
        <f>F35*Supuestos!$C$40*IF(Supuestos!$C$37=0,1,0)*('Precios Azure'!$C$6+MAX(0,Supuestos!$C$46*E35*Supuestos!$C$30/1000000-13)*'Precios Azure'!$C$7)</f>
        <v>0</v>
      </c>
      <c r="L35" s="9">
        <f>F35*Supuestos!$C$40*Supuestos!$C$37*730*'Precios Azure'!$C$8</f>
        <v>511.00204399999996</v>
      </c>
      <c r="M35" s="9">
        <f>F35*Supuestos!$C$40*Supuestos!$C$38*730*'Precios Azure'!$C$9</f>
        <v>528.30173583999999</v>
      </c>
      <c r="N35" s="9">
        <f>F35*Supuestos!$C$40*Supuestos!$C$46*E35*(Supuestos!$C$31/1000*'Precios Azure'!$C$10+Supuestos!$C$32/1000*'Precios Azure'!$C$11)</f>
        <v>174.24700321041209</v>
      </c>
      <c r="O35" s="9">
        <f>F35*Supuestos!$C$40*((Supuestos!$C$46*E35*Supuestos!$C$22*Supuestos!$C$28/1000*Supuestos!$C$29/30.4+Supuestos!$C$46*E35*Supuestos!$C$33/1000000*Supuestos!$C$34)*'Precios Azure'!$C$12+Supuestos!$C$46*E35*Supuestos!$C$35/10000*'Precios Azure'!$C$13)</f>
        <v>103.7480922951314</v>
      </c>
      <c r="P35" s="9">
        <f>F35*Supuestos!$C$40*30.4*'Precios Azure'!$C$5</f>
        <v>3.8223851007999996</v>
      </c>
      <c r="Q35" s="9">
        <f>F35*Supuestos!$C$40*MAX(0,Supuestos!$C$36-5)*'Precios Azure'!$C$14</f>
        <v>119.547648</v>
      </c>
      <c r="R35" s="9">
        <f>F35*Supuestos!$C$39*Supuestos!$C$44</f>
        <v>1466.6666666666665</v>
      </c>
      <c r="S35" s="9">
        <f t="shared" si="0"/>
        <v>3164.0913191130094</v>
      </c>
      <c r="T35" s="9">
        <f>D35*Supuestos!$C$19*Supuestos!$C$8</f>
        <v>14400</v>
      </c>
      <c r="U35" s="9">
        <f t="shared" si="1"/>
        <v>11235.908680886991</v>
      </c>
      <c r="V35" s="9">
        <f>SUM($U$2:U35)</f>
        <v>208062.47862557331</v>
      </c>
    </row>
    <row r="36" spans="1:22" x14ac:dyDescent="0.25">
      <c r="A36">
        <v>35</v>
      </c>
      <c r="B36" s="9">
        <f>IF(A36=1,Supuestos!$C$11,IF(A36=2,Supuestos!$C$12,IF(A36=3,Supuestos!$C$13,0)))*Supuestos!$C$45</f>
        <v>0</v>
      </c>
      <c r="C36" s="6">
        <f>IF(A36&lt;Supuestos!$C$15,0,IF(A36&gt;=Supuestos!$C$16,1,0.1+0.9*(A36-Supuestos!$C$15)/(Supuestos!$C$16-Supuestos!$C$15)))</f>
        <v>1</v>
      </c>
      <c r="D36" s="9">
        <f>Supuestos!$C$17*Supuestos!$C$18*C36</f>
        <v>1200</v>
      </c>
      <c r="E36" s="6">
        <f>IF(F36=0,0,IF(D36=0,0.05*Supuestos!$C$18,D36/Supuestos!$C$17))</f>
        <v>0.6</v>
      </c>
      <c r="F36" s="9">
        <f>IF(A36&gt;=Supuestos!$C$14,1,0)</f>
        <v>1</v>
      </c>
      <c r="G36" s="9">
        <f>IF(Supuestos!$C$9*Supuestos!$C$20*E36&gt;0,MAX(Supuestos!$C$25,CEILING(Supuestos!$C$9*Supuestos!$C$20*E36/Supuestos!$C$23,1)+Supuestos!$C$24),Supuestos!$C$25)</f>
        <v>4</v>
      </c>
      <c r="H36" s="9">
        <f>IF(Supuestos!$C$9*Supuestos!$C$21*E36&gt;0,MAX(Supuestos!$C$25,CEILING(Supuestos!$C$9*Supuestos!$C$21*E36/Supuestos!$C$23,1)+Supuestos!$C$24),Supuestos!$C$25)</f>
        <v>2</v>
      </c>
      <c r="I36" s="9">
        <f>F36*Supuestos!$C$40*(G36+H36)*365*Supuestos!$C$48</f>
        <v>249.90892415999997</v>
      </c>
      <c r="J36" s="9">
        <f>F36*Supuestos!$C$40*60*Supuestos!$C$48</f>
        <v>6.8468198399999993</v>
      </c>
      <c r="K36" s="9">
        <f>F36*Supuestos!$C$40*IF(Supuestos!$C$37=0,1,0)*('Precios Azure'!$C$6+MAX(0,Supuestos!$C$46*E36*Supuestos!$C$30/1000000-13)*'Precios Azure'!$C$7)</f>
        <v>0</v>
      </c>
      <c r="L36" s="9">
        <f>F36*Supuestos!$C$40*Supuestos!$C$37*730*'Precios Azure'!$C$8</f>
        <v>511.00204399999996</v>
      </c>
      <c r="M36" s="9">
        <f>F36*Supuestos!$C$40*Supuestos!$C$38*730*'Precios Azure'!$C$9</f>
        <v>528.30173583999999</v>
      </c>
      <c r="N36" s="9">
        <f>F36*Supuestos!$C$40*Supuestos!$C$46*E36*(Supuestos!$C$31/1000*'Precios Azure'!$C$10+Supuestos!$C$32/1000*'Precios Azure'!$C$11)</f>
        <v>174.24700321041209</v>
      </c>
      <c r="O36" s="9">
        <f>F36*Supuestos!$C$40*((Supuestos!$C$46*E36*Supuestos!$C$22*Supuestos!$C$28/1000*Supuestos!$C$29/30.4+Supuestos!$C$46*E36*Supuestos!$C$33/1000000*Supuestos!$C$34)*'Precios Azure'!$C$12+Supuestos!$C$46*E36*Supuestos!$C$35/10000*'Precios Azure'!$C$13)</f>
        <v>103.7480922951314</v>
      </c>
      <c r="P36" s="9">
        <f>F36*Supuestos!$C$40*30.4*'Precios Azure'!$C$5</f>
        <v>3.8223851007999996</v>
      </c>
      <c r="Q36" s="9">
        <f>F36*Supuestos!$C$40*MAX(0,Supuestos!$C$36-5)*'Precios Azure'!$C$14</f>
        <v>119.547648</v>
      </c>
      <c r="R36" s="9">
        <f>F36*Supuestos!$C$39*Supuestos!$C$44</f>
        <v>1466.6666666666665</v>
      </c>
      <c r="S36" s="9">
        <f t="shared" si="0"/>
        <v>3164.0913191130094</v>
      </c>
      <c r="T36" s="9">
        <f>D36*Supuestos!$C$19*Supuestos!$C$8</f>
        <v>14400</v>
      </c>
      <c r="U36" s="9">
        <f t="shared" si="1"/>
        <v>11235.908680886991</v>
      </c>
      <c r="V36" s="9">
        <f>SUM($U$2:U36)</f>
        <v>219298.3873064603</v>
      </c>
    </row>
    <row r="37" spans="1:22" x14ac:dyDescent="0.25">
      <c r="A37">
        <v>36</v>
      </c>
      <c r="B37" s="9">
        <f>IF(A37=1,Supuestos!$C$11,IF(A37=2,Supuestos!$C$12,IF(A37=3,Supuestos!$C$13,0)))*Supuestos!$C$45</f>
        <v>0</v>
      </c>
      <c r="C37" s="6">
        <f>IF(A37&lt;Supuestos!$C$15,0,IF(A37&gt;=Supuestos!$C$16,1,0.1+0.9*(A37-Supuestos!$C$15)/(Supuestos!$C$16-Supuestos!$C$15)))</f>
        <v>1</v>
      </c>
      <c r="D37" s="9">
        <f>Supuestos!$C$17*Supuestos!$C$18*C37</f>
        <v>1200</v>
      </c>
      <c r="E37" s="6">
        <f>IF(F37=0,0,IF(D37=0,0.05*Supuestos!$C$18,D37/Supuestos!$C$17))</f>
        <v>0.6</v>
      </c>
      <c r="F37" s="9">
        <f>IF(A37&gt;=Supuestos!$C$14,1,0)</f>
        <v>1</v>
      </c>
      <c r="G37" s="9">
        <f>IF(Supuestos!$C$9*Supuestos!$C$20*E37&gt;0,MAX(Supuestos!$C$25,CEILING(Supuestos!$C$9*Supuestos!$C$20*E37/Supuestos!$C$23,1)+Supuestos!$C$24),Supuestos!$C$25)</f>
        <v>4</v>
      </c>
      <c r="H37" s="9">
        <f>IF(Supuestos!$C$9*Supuestos!$C$21*E37&gt;0,MAX(Supuestos!$C$25,CEILING(Supuestos!$C$9*Supuestos!$C$21*E37/Supuestos!$C$23,1)+Supuestos!$C$24),Supuestos!$C$25)</f>
        <v>2</v>
      </c>
      <c r="I37" s="9">
        <f>F37*Supuestos!$C$40*(G37+H37)*365*Supuestos!$C$48</f>
        <v>249.90892415999997</v>
      </c>
      <c r="J37" s="9">
        <f>F37*Supuestos!$C$40*60*Supuestos!$C$48</f>
        <v>6.8468198399999993</v>
      </c>
      <c r="K37" s="9">
        <f>F37*Supuestos!$C$40*IF(Supuestos!$C$37=0,1,0)*('Precios Azure'!$C$6+MAX(0,Supuestos!$C$46*E37*Supuestos!$C$30/1000000-13)*'Precios Azure'!$C$7)</f>
        <v>0</v>
      </c>
      <c r="L37" s="9">
        <f>F37*Supuestos!$C$40*Supuestos!$C$37*730*'Precios Azure'!$C$8</f>
        <v>511.00204399999996</v>
      </c>
      <c r="M37" s="9">
        <f>F37*Supuestos!$C$40*Supuestos!$C$38*730*'Precios Azure'!$C$9</f>
        <v>528.30173583999999</v>
      </c>
      <c r="N37" s="9">
        <f>F37*Supuestos!$C$40*Supuestos!$C$46*E37*(Supuestos!$C$31/1000*'Precios Azure'!$C$10+Supuestos!$C$32/1000*'Precios Azure'!$C$11)</f>
        <v>174.24700321041209</v>
      </c>
      <c r="O37" s="9">
        <f>F37*Supuestos!$C$40*((Supuestos!$C$46*E37*Supuestos!$C$22*Supuestos!$C$28/1000*Supuestos!$C$29/30.4+Supuestos!$C$46*E37*Supuestos!$C$33/1000000*Supuestos!$C$34)*'Precios Azure'!$C$12+Supuestos!$C$46*E37*Supuestos!$C$35/10000*'Precios Azure'!$C$13)</f>
        <v>103.7480922951314</v>
      </c>
      <c r="P37" s="9">
        <f>F37*Supuestos!$C$40*30.4*'Precios Azure'!$C$5</f>
        <v>3.8223851007999996</v>
      </c>
      <c r="Q37" s="9">
        <f>F37*Supuestos!$C$40*MAX(0,Supuestos!$C$36-5)*'Precios Azure'!$C$14</f>
        <v>119.547648</v>
      </c>
      <c r="R37" s="9">
        <f>F37*Supuestos!$C$39*Supuestos!$C$44</f>
        <v>1466.6666666666665</v>
      </c>
      <c r="S37" s="9">
        <f t="shared" si="0"/>
        <v>3164.0913191130094</v>
      </c>
      <c r="T37" s="9">
        <f>D37*Supuestos!$C$19*Supuestos!$C$8</f>
        <v>14400</v>
      </c>
      <c r="U37" s="9">
        <f t="shared" si="1"/>
        <v>11235.908680886991</v>
      </c>
      <c r="V37" s="9">
        <f>SUM($U$2:U37)</f>
        <v>230534.29598734729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2" width="13" customWidth="1"/>
  </cols>
  <sheetData>
    <row r="1" spans="1:22" ht="45" x14ac:dyDescent="0.25">
      <c r="A1" s="8" t="s">
        <v>157</v>
      </c>
      <c r="B1" s="8" t="s">
        <v>158</v>
      </c>
      <c r="C1" s="8" t="s">
        <v>159</v>
      </c>
      <c r="D1" s="8" t="s">
        <v>160</v>
      </c>
      <c r="E1" s="8" t="s">
        <v>161</v>
      </c>
      <c r="F1" s="8" t="s">
        <v>162</v>
      </c>
      <c r="G1" s="8" t="s">
        <v>163</v>
      </c>
      <c r="H1" s="8" t="s">
        <v>164</v>
      </c>
      <c r="I1" s="8" t="s">
        <v>165</v>
      </c>
      <c r="J1" s="8" t="s">
        <v>166</v>
      </c>
      <c r="K1" s="8" t="s">
        <v>167</v>
      </c>
      <c r="L1" s="8" t="s">
        <v>168</v>
      </c>
      <c r="M1" s="8" t="s">
        <v>169</v>
      </c>
      <c r="N1" s="8" t="s">
        <v>170</v>
      </c>
      <c r="O1" s="8" t="s">
        <v>171</v>
      </c>
      <c r="P1" s="8" t="s">
        <v>172</v>
      </c>
      <c r="Q1" s="8" t="s">
        <v>173</v>
      </c>
      <c r="R1" s="8" t="s">
        <v>174</v>
      </c>
      <c r="S1" s="8" t="s">
        <v>175</v>
      </c>
      <c r="T1" s="8" t="s">
        <v>176</v>
      </c>
      <c r="U1" s="8" t="s">
        <v>177</v>
      </c>
      <c r="V1" s="8" t="s">
        <v>178</v>
      </c>
    </row>
    <row r="2" spans="1:22" x14ac:dyDescent="0.25">
      <c r="A2">
        <v>1</v>
      </c>
      <c r="B2" s="9">
        <f>IF(A2=1,Supuestos!$D$11,IF(A2=2,Supuestos!$D$12,IF(A2=3,Supuestos!$D$13,0)))*Supuestos!$D$45</f>
        <v>40158.433333333334</v>
      </c>
      <c r="C2" s="6">
        <f>IF(A2&lt;Supuestos!$D$15,0,IF(A2&gt;=Supuestos!$D$16,1,0.1+0.9*(A2-Supuestos!$D$15)/(Supuestos!$D$16-Supuestos!$D$15)))</f>
        <v>0</v>
      </c>
      <c r="D2" s="9">
        <f>Supuestos!$D$17*Supuestos!$D$18*C2</f>
        <v>0</v>
      </c>
      <c r="E2" s="6">
        <f>IF(F2=0,0,IF(D2=0,0.05*Supuestos!$D$18,D2/Supuestos!$D$17))</f>
        <v>0</v>
      </c>
      <c r="F2" s="9">
        <f>IF(A2&gt;=Supuestos!$D$14,1,0)</f>
        <v>0</v>
      </c>
      <c r="G2" s="9">
        <f>IF(Supuestos!$D$9*Supuestos!$D$20*E2&gt;0,MAX(Supuestos!$D$25,CEILING(Supuestos!$D$9*Supuestos!$D$20*E2/Supuestos!$D$23,1)+Supuestos!$D$24),Supuestos!$D$25)</f>
        <v>2</v>
      </c>
      <c r="H2" s="9">
        <f>IF(Supuestos!$D$9*Supuestos!$D$21*E2&gt;0,MAX(Supuestos!$D$25,CEILING(Supuestos!$D$9*Supuestos!$D$21*E2/Supuestos!$D$23,1)+Supuestos!$D$24),Supuestos!$D$25)</f>
        <v>2</v>
      </c>
      <c r="I2" s="9">
        <f>F2*Supuestos!$D$40*(G2+H2)*365*Supuestos!$D$48</f>
        <v>0</v>
      </c>
      <c r="J2" s="9">
        <f>F2*Supuestos!$D$40*60*Supuestos!$D$48</f>
        <v>0</v>
      </c>
      <c r="K2" s="9">
        <f>F2*Supuestos!$D$40*IF(Supuestos!$D$37=0,1,0)*('Precios Azure'!$C$6+MAX(0,Supuestos!$D$46*E2*Supuestos!$D$30/1000000-13)*'Precios Azure'!$C$7)</f>
        <v>0</v>
      </c>
      <c r="L2" s="9">
        <f>F2*Supuestos!$D$40*Supuestos!$D$37*730*'Precios Azure'!$C$8</f>
        <v>0</v>
      </c>
      <c r="M2" s="9">
        <f>F2*Supuestos!$D$40*Supuestos!$D$38*730*'Precios Azure'!$C$9</f>
        <v>0</v>
      </c>
      <c r="N2" s="9">
        <f>F2*Supuestos!$D$40*Supuestos!$D$46*E2*(Supuestos!$D$31/1000*'Precios Azure'!$C$10+Supuestos!$D$32/1000*'Precios Azure'!$C$11)</f>
        <v>0</v>
      </c>
      <c r="O2" s="9">
        <f>F2*Supuestos!$D$40*((Supuestos!$D$46*E2*Supuestos!$D$22*Supuestos!$D$28/1000*Supuestos!$D$29/30.4+Supuestos!$D$46*E2*Supuestos!$D$33/1000000*Supuestos!$D$34)*'Precios Azure'!$C$12+Supuestos!$D$46*E2*Supuestos!$D$35/10000*'Precios Azure'!$C$13)</f>
        <v>0</v>
      </c>
      <c r="P2" s="9">
        <f>F2*Supuestos!$D$40*30.4*'Precios Azure'!$C$5</f>
        <v>0</v>
      </c>
      <c r="Q2" s="9">
        <f>F2*Supuestos!$D$40*MAX(0,Supuestos!$D$36-5)*'Precios Azure'!$C$14</f>
        <v>0</v>
      </c>
      <c r="R2" s="9">
        <f>F2*Supuestos!$D$39*Supuestos!$D$44</f>
        <v>0</v>
      </c>
      <c r="S2" s="9">
        <f t="shared" ref="S2:S37" si="0">SUM(I2:R2)</f>
        <v>0</v>
      </c>
      <c r="T2" s="9">
        <f>D2*Supuestos!$D$19*Supuestos!$D$8</f>
        <v>0</v>
      </c>
      <c r="U2" s="9">
        <f t="shared" ref="U2:U37" si="1">T2-S2-B2</f>
        <v>-40158.433333333334</v>
      </c>
      <c r="V2" s="9">
        <f>SUM($U$2:U2)</f>
        <v>-40158.433333333334</v>
      </c>
    </row>
    <row r="3" spans="1:22" x14ac:dyDescent="0.25">
      <c r="A3">
        <v>2</v>
      </c>
      <c r="B3" s="9">
        <f>IF(A3=1,Supuestos!$D$11,IF(A3=2,Supuestos!$D$12,IF(A3=3,Supuestos!$D$13,0)))*Supuestos!$D$45</f>
        <v>49354.066666666666</v>
      </c>
      <c r="C3" s="6">
        <f>IF(A3&lt;Supuestos!$D$15,0,IF(A3&gt;=Supuestos!$D$16,1,0.1+0.9*(A3-Supuestos!$D$15)/(Supuestos!$D$16-Supuestos!$D$15)))</f>
        <v>0</v>
      </c>
      <c r="D3" s="9">
        <f>Supuestos!$D$17*Supuestos!$D$18*C3</f>
        <v>0</v>
      </c>
      <c r="E3" s="6">
        <f>IF(F3=0,0,IF(D3=0,0.05*Supuestos!$D$18,D3/Supuestos!$D$17))</f>
        <v>0</v>
      </c>
      <c r="F3" s="9">
        <f>IF(A3&gt;=Supuestos!$D$14,1,0)</f>
        <v>0</v>
      </c>
      <c r="G3" s="9">
        <f>IF(Supuestos!$D$9*Supuestos!$D$20*E3&gt;0,MAX(Supuestos!$D$25,CEILING(Supuestos!$D$9*Supuestos!$D$20*E3/Supuestos!$D$23,1)+Supuestos!$D$24),Supuestos!$D$25)</f>
        <v>2</v>
      </c>
      <c r="H3" s="9">
        <f>IF(Supuestos!$D$9*Supuestos!$D$21*E3&gt;0,MAX(Supuestos!$D$25,CEILING(Supuestos!$D$9*Supuestos!$D$21*E3/Supuestos!$D$23,1)+Supuestos!$D$24),Supuestos!$D$25)</f>
        <v>2</v>
      </c>
      <c r="I3" s="9">
        <f>F3*Supuestos!$D$40*(G3+H3)*365*Supuestos!$D$48</f>
        <v>0</v>
      </c>
      <c r="J3" s="9">
        <f>F3*Supuestos!$D$40*60*Supuestos!$D$48</f>
        <v>0</v>
      </c>
      <c r="K3" s="9">
        <f>F3*Supuestos!$D$40*IF(Supuestos!$D$37=0,1,0)*('Precios Azure'!$C$6+MAX(0,Supuestos!$D$46*E3*Supuestos!$D$30/1000000-13)*'Precios Azure'!$C$7)</f>
        <v>0</v>
      </c>
      <c r="L3" s="9">
        <f>F3*Supuestos!$D$40*Supuestos!$D$37*730*'Precios Azure'!$C$8</f>
        <v>0</v>
      </c>
      <c r="M3" s="9">
        <f>F3*Supuestos!$D$40*Supuestos!$D$38*730*'Precios Azure'!$C$9</f>
        <v>0</v>
      </c>
      <c r="N3" s="9">
        <f>F3*Supuestos!$D$40*Supuestos!$D$46*E3*(Supuestos!$D$31/1000*'Precios Azure'!$C$10+Supuestos!$D$32/1000*'Precios Azure'!$C$11)</f>
        <v>0</v>
      </c>
      <c r="O3" s="9">
        <f>F3*Supuestos!$D$40*((Supuestos!$D$46*E3*Supuestos!$D$22*Supuestos!$D$28/1000*Supuestos!$D$29/30.4+Supuestos!$D$46*E3*Supuestos!$D$33/1000000*Supuestos!$D$34)*'Precios Azure'!$C$12+Supuestos!$D$46*E3*Supuestos!$D$35/10000*'Precios Azure'!$C$13)</f>
        <v>0</v>
      </c>
      <c r="P3" s="9">
        <f>F3*Supuestos!$D$40*30.4*'Precios Azure'!$C$5</f>
        <v>0</v>
      </c>
      <c r="Q3" s="9">
        <f>F3*Supuestos!$D$40*MAX(0,Supuestos!$D$36-5)*'Precios Azure'!$C$14</f>
        <v>0</v>
      </c>
      <c r="R3" s="9">
        <f>F3*Supuestos!$D$39*Supuestos!$D$44</f>
        <v>0</v>
      </c>
      <c r="S3" s="9">
        <f t="shared" si="0"/>
        <v>0</v>
      </c>
      <c r="T3" s="9">
        <f>D3*Supuestos!$D$19*Supuestos!$D$8</f>
        <v>0</v>
      </c>
      <c r="U3" s="9">
        <f t="shared" si="1"/>
        <v>-49354.066666666666</v>
      </c>
      <c r="V3" s="9">
        <f>SUM($U$2:U3)</f>
        <v>-89512.5</v>
      </c>
    </row>
    <row r="4" spans="1:22" x14ac:dyDescent="0.25">
      <c r="A4">
        <v>3</v>
      </c>
      <c r="B4" s="9">
        <f>IF(A4=1,Supuestos!$D$11,IF(A4=2,Supuestos!$D$12,IF(A4=3,Supuestos!$D$13,0)))*Supuestos!$D$45</f>
        <v>24154.166666666668</v>
      </c>
      <c r="C4" s="6">
        <f>IF(A4&lt;Supuestos!$D$15,0,IF(A4&gt;=Supuestos!$D$16,1,0.1+0.9*(A4-Supuestos!$D$15)/(Supuestos!$D$16-Supuestos!$D$15)))</f>
        <v>0</v>
      </c>
      <c r="D4" s="9">
        <f>Supuestos!$D$17*Supuestos!$D$18*C4</f>
        <v>0</v>
      </c>
      <c r="E4" s="6">
        <f>IF(F4=0,0,IF(D4=0,0.05*Supuestos!$D$18,D4/Supuestos!$D$17))</f>
        <v>0</v>
      </c>
      <c r="F4" s="9">
        <f>IF(A4&gt;=Supuestos!$D$14,1,0)</f>
        <v>0</v>
      </c>
      <c r="G4" s="9">
        <f>IF(Supuestos!$D$9*Supuestos!$D$20*E4&gt;0,MAX(Supuestos!$D$25,CEILING(Supuestos!$D$9*Supuestos!$D$20*E4/Supuestos!$D$23,1)+Supuestos!$D$24),Supuestos!$D$25)</f>
        <v>2</v>
      </c>
      <c r="H4" s="9">
        <f>IF(Supuestos!$D$9*Supuestos!$D$21*E4&gt;0,MAX(Supuestos!$D$25,CEILING(Supuestos!$D$9*Supuestos!$D$21*E4/Supuestos!$D$23,1)+Supuestos!$D$24),Supuestos!$D$25)</f>
        <v>2</v>
      </c>
      <c r="I4" s="9">
        <f>F4*Supuestos!$D$40*(G4+H4)*365*Supuestos!$D$48</f>
        <v>0</v>
      </c>
      <c r="J4" s="9">
        <f>F4*Supuestos!$D$40*60*Supuestos!$D$48</f>
        <v>0</v>
      </c>
      <c r="K4" s="9">
        <f>F4*Supuestos!$D$40*IF(Supuestos!$D$37=0,1,0)*('Precios Azure'!$C$6+MAX(0,Supuestos!$D$46*E4*Supuestos!$D$30/1000000-13)*'Precios Azure'!$C$7)</f>
        <v>0</v>
      </c>
      <c r="L4" s="9">
        <f>F4*Supuestos!$D$40*Supuestos!$D$37*730*'Precios Azure'!$C$8</f>
        <v>0</v>
      </c>
      <c r="M4" s="9">
        <f>F4*Supuestos!$D$40*Supuestos!$D$38*730*'Precios Azure'!$C$9</f>
        <v>0</v>
      </c>
      <c r="N4" s="9">
        <f>F4*Supuestos!$D$40*Supuestos!$D$46*E4*(Supuestos!$D$31/1000*'Precios Azure'!$C$10+Supuestos!$D$32/1000*'Precios Azure'!$C$11)</f>
        <v>0</v>
      </c>
      <c r="O4" s="9">
        <f>F4*Supuestos!$D$40*((Supuestos!$D$46*E4*Supuestos!$D$22*Supuestos!$D$28/1000*Supuestos!$D$29/30.4+Supuestos!$D$46*E4*Supuestos!$D$33/1000000*Supuestos!$D$34)*'Precios Azure'!$C$12+Supuestos!$D$46*E4*Supuestos!$D$35/10000*'Precios Azure'!$C$13)</f>
        <v>0</v>
      </c>
      <c r="P4" s="9">
        <f>F4*Supuestos!$D$40*30.4*'Precios Azure'!$C$5</f>
        <v>0</v>
      </c>
      <c r="Q4" s="9">
        <f>F4*Supuestos!$D$40*MAX(0,Supuestos!$D$36-5)*'Precios Azure'!$C$14</f>
        <v>0</v>
      </c>
      <c r="R4" s="9">
        <f>F4*Supuestos!$D$39*Supuestos!$D$44</f>
        <v>0</v>
      </c>
      <c r="S4" s="9">
        <f t="shared" si="0"/>
        <v>0</v>
      </c>
      <c r="T4" s="9">
        <f>D4*Supuestos!$D$19*Supuestos!$D$8</f>
        <v>0</v>
      </c>
      <c r="U4" s="9">
        <f t="shared" si="1"/>
        <v>-24154.166666666668</v>
      </c>
      <c r="V4" s="9">
        <f>SUM($U$2:U4)</f>
        <v>-113666.66666666667</v>
      </c>
    </row>
    <row r="5" spans="1:22" x14ac:dyDescent="0.25">
      <c r="A5">
        <v>4</v>
      </c>
      <c r="B5" s="9">
        <f>IF(A5=1,Supuestos!$D$11,IF(A5=2,Supuestos!$D$12,IF(A5=3,Supuestos!$D$13,0)))*Supuestos!$D$45</f>
        <v>0</v>
      </c>
      <c r="C5" s="6">
        <f>IF(A5&lt;Supuestos!$D$15,0,IF(A5&gt;=Supuestos!$D$16,1,0.1+0.9*(A5-Supuestos!$D$15)/(Supuestos!$D$16-Supuestos!$D$15)))</f>
        <v>0</v>
      </c>
      <c r="D5" s="9">
        <f>Supuestos!$D$17*Supuestos!$D$18*C5</f>
        <v>0</v>
      </c>
      <c r="E5" s="6">
        <f>IF(F5=0,0,IF(D5=0,0.05*Supuestos!$D$18,D5/Supuestos!$D$17))</f>
        <v>0</v>
      </c>
      <c r="F5" s="9">
        <f>IF(A5&gt;=Supuestos!$D$14,1,0)</f>
        <v>0</v>
      </c>
      <c r="G5" s="9">
        <f>IF(Supuestos!$D$9*Supuestos!$D$20*E5&gt;0,MAX(Supuestos!$D$25,CEILING(Supuestos!$D$9*Supuestos!$D$20*E5/Supuestos!$D$23,1)+Supuestos!$D$24),Supuestos!$D$25)</f>
        <v>2</v>
      </c>
      <c r="H5" s="9">
        <f>IF(Supuestos!$D$9*Supuestos!$D$21*E5&gt;0,MAX(Supuestos!$D$25,CEILING(Supuestos!$D$9*Supuestos!$D$21*E5/Supuestos!$D$23,1)+Supuestos!$D$24),Supuestos!$D$25)</f>
        <v>2</v>
      </c>
      <c r="I5" s="9">
        <f>F5*Supuestos!$D$40*(G5+H5)*365*Supuestos!$D$48</f>
        <v>0</v>
      </c>
      <c r="J5" s="9">
        <f>F5*Supuestos!$D$40*60*Supuestos!$D$48</f>
        <v>0</v>
      </c>
      <c r="K5" s="9">
        <f>F5*Supuestos!$D$40*IF(Supuestos!$D$37=0,1,0)*('Precios Azure'!$C$6+MAX(0,Supuestos!$D$46*E5*Supuestos!$D$30/1000000-13)*'Precios Azure'!$C$7)</f>
        <v>0</v>
      </c>
      <c r="L5" s="9">
        <f>F5*Supuestos!$D$40*Supuestos!$D$37*730*'Precios Azure'!$C$8</f>
        <v>0</v>
      </c>
      <c r="M5" s="9">
        <f>F5*Supuestos!$D$40*Supuestos!$D$38*730*'Precios Azure'!$C$9</f>
        <v>0</v>
      </c>
      <c r="N5" s="9">
        <f>F5*Supuestos!$D$40*Supuestos!$D$46*E5*(Supuestos!$D$31/1000*'Precios Azure'!$C$10+Supuestos!$D$32/1000*'Precios Azure'!$C$11)</f>
        <v>0</v>
      </c>
      <c r="O5" s="9">
        <f>F5*Supuestos!$D$40*((Supuestos!$D$46*E5*Supuestos!$D$22*Supuestos!$D$28/1000*Supuestos!$D$29/30.4+Supuestos!$D$46*E5*Supuestos!$D$33/1000000*Supuestos!$D$34)*'Precios Azure'!$C$12+Supuestos!$D$46*E5*Supuestos!$D$35/10000*'Precios Azure'!$C$13)</f>
        <v>0</v>
      </c>
      <c r="P5" s="9">
        <f>F5*Supuestos!$D$40*30.4*'Precios Azure'!$C$5</f>
        <v>0</v>
      </c>
      <c r="Q5" s="9">
        <f>F5*Supuestos!$D$40*MAX(0,Supuestos!$D$36-5)*'Precios Azure'!$C$14</f>
        <v>0</v>
      </c>
      <c r="R5" s="9">
        <f>F5*Supuestos!$D$39*Supuestos!$D$44</f>
        <v>0</v>
      </c>
      <c r="S5" s="9">
        <f t="shared" si="0"/>
        <v>0</v>
      </c>
      <c r="T5" s="9">
        <f>D5*Supuestos!$D$19*Supuestos!$D$8</f>
        <v>0</v>
      </c>
      <c r="U5" s="9">
        <f t="shared" si="1"/>
        <v>0</v>
      </c>
      <c r="V5" s="9">
        <f>SUM($U$2:U5)</f>
        <v>-113666.66666666667</v>
      </c>
    </row>
    <row r="6" spans="1:22" x14ac:dyDescent="0.25">
      <c r="A6">
        <v>5</v>
      </c>
      <c r="B6" s="9">
        <f>IF(A6=1,Supuestos!$D$11,IF(A6=2,Supuestos!$D$12,IF(A6=3,Supuestos!$D$13,0)))*Supuestos!$D$45</f>
        <v>0</v>
      </c>
      <c r="C6" s="6">
        <f>IF(A6&lt;Supuestos!$D$15,0,IF(A6&gt;=Supuestos!$D$16,1,0.1+0.9*(A6-Supuestos!$D$15)/(Supuestos!$D$16-Supuestos!$D$15)))</f>
        <v>0</v>
      </c>
      <c r="D6" s="9">
        <f>Supuestos!$D$17*Supuestos!$D$18*C6</f>
        <v>0</v>
      </c>
      <c r="E6" s="6">
        <f>IF(F6=0,0,IF(D6=0,0.05*Supuestos!$D$18,D6/Supuestos!$D$17))</f>
        <v>0</v>
      </c>
      <c r="F6" s="9">
        <f>IF(A6&gt;=Supuestos!$D$14,1,0)</f>
        <v>0</v>
      </c>
      <c r="G6" s="9">
        <f>IF(Supuestos!$D$9*Supuestos!$D$20*E6&gt;0,MAX(Supuestos!$D$25,CEILING(Supuestos!$D$9*Supuestos!$D$20*E6/Supuestos!$D$23,1)+Supuestos!$D$24),Supuestos!$D$25)</f>
        <v>2</v>
      </c>
      <c r="H6" s="9">
        <f>IF(Supuestos!$D$9*Supuestos!$D$21*E6&gt;0,MAX(Supuestos!$D$25,CEILING(Supuestos!$D$9*Supuestos!$D$21*E6/Supuestos!$D$23,1)+Supuestos!$D$24),Supuestos!$D$25)</f>
        <v>2</v>
      </c>
      <c r="I6" s="9">
        <f>F6*Supuestos!$D$40*(G6+H6)*365*Supuestos!$D$48</f>
        <v>0</v>
      </c>
      <c r="J6" s="9">
        <f>F6*Supuestos!$D$40*60*Supuestos!$D$48</f>
        <v>0</v>
      </c>
      <c r="K6" s="9">
        <f>F6*Supuestos!$D$40*IF(Supuestos!$D$37=0,1,0)*('Precios Azure'!$C$6+MAX(0,Supuestos!$D$46*E6*Supuestos!$D$30/1000000-13)*'Precios Azure'!$C$7)</f>
        <v>0</v>
      </c>
      <c r="L6" s="9">
        <f>F6*Supuestos!$D$40*Supuestos!$D$37*730*'Precios Azure'!$C$8</f>
        <v>0</v>
      </c>
      <c r="M6" s="9">
        <f>F6*Supuestos!$D$40*Supuestos!$D$38*730*'Precios Azure'!$C$9</f>
        <v>0</v>
      </c>
      <c r="N6" s="9">
        <f>F6*Supuestos!$D$40*Supuestos!$D$46*E6*(Supuestos!$D$31/1000*'Precios Azure'!$C$10+Supuestos!$D$32/1000*'Precios Azure'!$C$11)</f>
        <v>0</v>
      </c>
      <c r="O6" s="9">
        <f>F6*Supuestos!$D$40*((Supuestos!$D$46*E6*Supuestos!$D$22*Supuestos!$D$28/1000*Supuestos!$D$29/30.4+Supuestos!$D$46*E6*Supuestos!$D$33/1000000*Supuestos!$D$34)*'Precios Azure'!$C$12+Supuestos!$D$46*E6*Supuestos!$D$35/10000*'Precios Azure'!$C$13)</f>
        <v>0</v>
      </c>
      <c r="P6" s="9">
        <f>F6*Supuestos!$D$40*30.4*'Precios Azure'!$C$5</f>
        <v>0</v>
      </c>
      <c r="Q6" s="9">
        <f>F6*Supuestos!$D$40*MAX(0,Supuestos!$D$36-5)*'Precios Azure'!$C$14</f>
        <v>0</v>
      </c>
      <c r="R6" s="9">
        <f>F6*Supuestos!$D$39*Supuestos!$D$44</f>
        <v>0</v>
      </c>
      <c r="S6" s="9">
        <f t="shared" si="0"/>
        <v>0</v>
      </c>
      <c r="T6" s="9">
        <f>D6*Supuestos!$D$19*Supuestos!$D$8</f>
        <v>0</v>
      </c>
      <c r="U6" s="9">
        <f t="shared" si="1"/>
        <v>0</v>
      </c>
      <c r="V6" s="9">
        <f>SUM($U$2:U6)</f>
        <v>-113666.66666666667</v>
      </c>
    </row>
    <row r="7" spans="1:22" x14ac:dyDescent="0.25">
      <c r="A7">
        <v>6</v>
      </c>
      <c r="B7" s="9">
        <f>IF(A7=1,Supuestos!$D$11,IF(A7=2,Supuestos!$D$12,IF(A7=3,Supuestos!$D$13,0)))*Supuestos!$D$45</f>
        <v>0</v>
      </c>
      <c r="C7" s="6">
        <f>IF(A7&lt;Supuestos!$D$15,0,IF(A7&gt;=Supuestos!$D$16,1,0.1+0.9*(A7-Supuestos!$D$15)/(Supuestos!$D$16-Supuestos!$D$15)))</f>
        <v>0</v>
      </c>
      <c r="D7" s="9">
        <f>Supuestos!$D$17*Supuestos!$D$18*C7</f>
        <v>0</v>
      </c>
      <c r="E7" s="6">
        <f>IF(F7=0,0,IF(D7=0,0.05*Supuestos!$D$18,D7/Supuestos!$D$17))</f>
        <v>0</v>
      </c>
      <c r="F7" s="9">
        <f>IF(A7&gt;=Supuestos!$D$14,1,0)</f>
        <v>0</v>
      </c>
      <c r="G7" s="9">
        <f>IF(Supuestos!$D$9*Supuestos!$D$20*E7&gt;0,MAX(Supuestos!$D$25,CEILING(Supuestos!$D$9*Supuestos!$D$20*E7/Supuestos!$D$23,1)+Supuestos!$D$24),Supuestos!$D$25)</f>
        <v>2</v>
      </c>
      <c r="H7" s="9">
        <f>IF(Supuestos!$D$9*Supuestos!$D$21*E7&gt;0,MAX(Supuestos!$D$25,CEILING(Supuestos!$D$9*Supuestos!$D$21*E7/Supuestos!$D$23,1)+Supuestos!$D$24),Supuestos!$D$25)</f>
        <v>2</v>
      </c>
      <c r="I7" s="9">
        <f>F7*Supuestos!$D$40*(G7+H7)*365*Supuestos!$D$48</f>
        <v>0</v>
      </c>
      <c r="J7" s="9">
        <f>F7*Supuestos!$D$40*60*Supuestos!$D$48</f>
        <v>0</v>
      </c>
      <c r="K7" s="9">
        <f>F7*Supuestos!$D$40*IF(Supuestos!$D$37=0,1,0)*('Precios Azure'!$C$6+MAX(0,Supuestos!$D$46*E7*Supuestos!$D$30/1000000-13)*'Precios Azure'!$C$7)</f>
        <v>0</v>
      </c>
      <c r="L7" s="9">
        <f>F7*Supuestos!$D$40*Supuestos!$D$37*730*'Precios Azure'!$C$8</f>
        <v>0</v>
      </c>
      <c r="M7" s="9">
        <f>F7*Supuestos!$D$40*Supuestos!$D$38*730*'Precios Azure'!$C$9</f>
        <v>0</v>
      </c>
      <c r="N7" s="9">
        <f>F7*Supuestos!$D$40*Supuestos!$D$46*E7*(Supuestos!$D$31/1000*'Precios Azure'!$C$10+Supuestos!$D$32/1000*'Precios Azure'!$C$11)</f>
        <v>0</v>
      </c>
      <c r="O7" s="9">
        <f>F7*Supuestos!$D$40*((Supuestos!$D$46*E7*Supuestos!$D$22*Supuestos!$D$28/1000*Supuestos!$D$29/30.4+Supuestos!$D$46*E7*Supuestos!$D$33/1000000*Supuestos!$D$34)*'Precios Azure'!$C$12+Supuestos!$D$46*E7*Supuestos!$D$35/10000*'Precios Azure'!$C$13)</f>
        <v>0</v>
      </c>
      <c r="P7" s="9">
        <f>F7*Supuestos!$D$40*30.4*'Precios Azure'!$C$5</f>
        <v>0</v>
      </c>
      <c r="Q7" s="9">
        <f>F7*Supuestos!$D$40*MAX(0,Supuestos!$D$36-5)*'Precios Azure'!$C$14</f>
        <v>0</v>
      </c>
      <c r="R7" s="9">
        <f>F7*Supuestos!$D$39*Supuestos!$D$44</f>
        <v>0</v>
      </c>
      <c r="S7" s="9">
        <f t="shared" si="0"/>
        <v>0</v>
      </c>
      <c r="T7" s="9">
        <f>D7*Supuestos!$D$19*Supuestos!$D$8</f>
        <v>0</v>
      </c>
      <c r="U7" s="9">
        <f t="shared" si="1"/>
        <v>0</v>
      </c>
      <c r="V7" s="9">
        <f>SUM($U$2:U7)</f>
        <v>-113666.66666666667</v>
      </c>
    </row>
    <row r="8" spans="1:22" x14ac:dyDescent="0.25">
      <c r="A8">
        <v>7</v>
      </c>
      <c r="B8" s="9">
        <f>IF(A8=1,Supuestos!$D$11,IF(A8=2,Supuestos!$D$12,IF(A8=3,Supuestos!$D$13,0)))*Supuestos!$D$45</f>
        <v>0</v>
      </c>
      <c r="C8" s="6">
        <f>IF(A8&lt;Supuestos!$D$15,0,IF(A8&gt;=Supuestos!$D$16,1,0.1+0.9*(A8-Supuestos!$D$15)/(Supuestos!$D$16-Supuestos!$D$15)))</f>
        <v>0.1</v>
      </c>
      <c r="D8" s="9">
        <f>Supuestos!$D$17*Supuestos!$D$18*C8</f>
        <v>50</v>
      </c>
      <c r="E8" s="6">
        <f>IF(F8=0,0,IF(D8=0,0.05*Supuestos!$D$18,D8/Supuestos!$D$17))</f>
        <v>2.5000000000000001E-2</v>
      </c>
      <c r="F8" s="9">
        <f>IF(A8&gt;=Supuestos!$D$14,1,0)</f>
        <v>1</v>
      </c>
      <c r="G8" s="9">
        <f>IF(Supuestos!$D$9*Supuestos!$D$20*E8&gt;0,MAX(Supuestos!$D$25,CEILING(Supuestos!$D$9*Supuestos!$D$20*E8/Supuestos!$D$23,1)+Supuestos!$D$24),Supuestos!$D$25)</f>
        <v>2</v>
      </c>
      <c r="H8" s="9">
        <f>IF(Supuestos!$D$9*Supuestos!$D$21*E8&gt;0,MAX(Supuestos!$D$25,CEILING(Supuestos!$D$9*Supuestos!$D$21*E8/Supuestos!$D$23,1)+Supuestos!$D$24),Supuestos!$D$25)</f>
        <v>2</v>
      </c>
      <c r="I8" s="9">
        <f>F8*Supuestos!$D$40*(G8+H8)*365*Supuestos!$D$48</f>
        <v>191.59684185599997</v>
      </c>
      <c r="J8" s="9">
        <f>F8*Supuestos!$D$40*60*Supuestos!$D$48</f>
        <v>7.8738428159999989</v>
      </c>
      <c r="K8" s="9">
        <f>F8*Supuestos!$D$40*IF(Supuestos!$D$37=0,1,0)*('Precios Azure'!$C$6+MAX(0,Supuestos!$D$46*E8*Supuestos!$D$30/1000000-13)*'Precios Azure'!$C$7)</f>
        <v>0</v>
      </c>
      <c r="L8" s="9">
        <f>F8*Supuestos!$D$40*Supuestos!$D$37*730*'Precios Azure'!$C$8</f>
        <v>587.65235059999986</v>
      </c>
      <c r="M8" s="9">
        <f>F8*Supuestos!$D$40*Supuestos!$D$38*730*'Precios Azure'!$C$9</f>
        <v>607.5469962159998</v>
      </c>
      <c r="N8" s="9">
        <f>F8*Supuestos!$D$40*Supuestos!$D$46*E8*(Supuestos!$D$31/1000*'Precios Azure'!$C$10+Supuestos!$D$32/1000*'Precios Azure'!$C$11)</f>
        <v>8.3493355704989138</v>
      </c>
      <c r="O8" s="9">
        <f>F8*Supuestos!$D$40*((Supuestos!$D$46*E8*Supuestos!$D$22*Supuestos!$D$28/1000*Supuestos!$D$29/30.4+Supuestos!$D$46*E8*Supuestos!$D$33/1000000*Supuestos!$D$34)*'Precios Azure'!$C$12+Supuestos!$D$46*E8*Supuestos!$D$35/10000*'Precios Azure'!$C$13)</f>
        <v>4.9712627558083797</v>
      </c>
      <c r="P8" s="9">
        <f>F8*Supuestos!$D$40*30.4*'Precios Azure'!$C$5</f>
        <v>4.3957428659199991</v>
      </c>
      <c r="Q8" s="9">
        <f>F8*Supuestos!$D$40*MAX(0,Supuestos!$D$36-5)*'Precios Azure'!$C$14</f>
        <v>137.47979519999998</v>
      </c>
      <c r="R8" s="9">
        <f>F8*Supuestos!$D$39*Supuestos!$D$44</f>
        <v>4133.333333333333</v>
      </c>
      <c r="S8" s="9">
        <f t="shared" si="0"/>
        <v>5683.1995012135594</v>
      </c>
      <c r="T8" s="9">
        <f>D8*Supuestos!$D$19*Supuestos!$D$8</f>
        <v>400</v>
      </c>
      <c r="U8" s="9">
        <f t="shared" si="1"/>
        <v>-5283.1995012135594</v>
      </c>
      <c r="V8" s="9">
        <f>SUM($U$2:U8)</f>
        <v>-118949.86616788023</v>
      </c>
    </row>
    <row r="9" spans="1:22" x14ac:dyDescent="0.25">
      <c r="A9">
        <v>8</v>
      </c>
      <c r="B9" s="9">
        <f>IF(A9=1,Supuestos!$D$11,IF(A9=2,Supuestos!$D$12,IF(A9=3,Supuestos!$D$13,0)))*Supuestos!$D$45</f>
        <v>0</v>
      </c>
      <c r="C9" s="6">
        <f>IF(A9&lt;Supuestos!$D$15,0,IF(A9&gt;=Supuestos!$D$16,1,0.1+0.9*(A9-Supuestos!$D$15)/(Supuestos!$D$16-Supuestos!$D$15)))</f>
        <v>0.15294117647058825</v>
      </c>
      <c r="D9" s="9">
        <f>Supuestos!$D$17*Supuestos!$D$18*C9</f>
        <v>76.47058823529413</v>
      </c>
      <c r="E9" s="6">
        <f>IF(F9=0,0,IF(D9=0,0.05*Supuestos!$D$18,D9/Supuestos!$D$17))</f>
        <v>3.8235294117647062E-2</v>
      </c>
      <c r="F9" s="9">
        <f>IF(A9&gt;=Supuestos!$D$14,1,0)</f>
        <v>1</v>
      </c>
      <c r="G9" s="9">
        <f>IF(Supuestos!$D$9*Supuestos!$D$20*E9&gt;0,MAX(Supuestos!$D$25,CEILING(Supuestos!$D$9*Supuestos!$D$20*E9/Supuestos!$D$23,1)+Supuestos!$D$24),Supuestos!$D$25)</f>
        <v>2</v>
      </c>
      <c r="H9" s="9">
        <f>IF(Supuestos!$D$9*Supuestos!$D$21*E9&gt;0,MAX(Supuestos!$D$25,CEILING(Supuestos!$D$9*Supuestos!$D$21*E9/Supuestos!$D$23,1)+Supuestos!$D$24),Supuestos!$D$25)</f>
        <v>2</v>
      </c>
      <c r="I9" s="9">
        <f>F9*Supuestos!$D$40*(G9+H9)*365*Supuestos!$D$48</f>
        <v>191.59684185599997</v>
      </c>
      <c r="J9" s="9">
        <f>F9*Supuestos!$D$40*60*Supuestos!$D$48</f>
        <v>7.8738428159999989</v>
      </c>
      <c r="K9" s="9">
        <f>F9*Supuestos!$D$40*IF(Supuestos!$D$37=0,1,0)*('Precios Azure'!$C$6+MAX(0,Supuestos!$D$46*E9*Supuestos!$D$30/1000000-13)*'Precios Azure'!$C$7)</f>
        <v>0</v>
      </c>
      <c r="L9" s="9">
        <f>F9*Supuestos!$D$40*Supuestos!$D$37*730*'Precios Azure'!$C$8</f>
        <v>587.65235059999986</v>
      </c>
      <c r="M9" s="9">
        <f>F9*Supuestos!$D$40*Supuestos!$D$38*730*'Precios Azure'!$C$9</f>
        <v>607.5469962159998</v>
      </c>
      <c r="N9" s="9">
        <f>F9*Supuestos!$D$40*Supuestos!$D$46*E9*(Supuestos!$D$31/1000*'Precios Azure'!$C$10+Supuestos!$D$32/1000*'Precios Azure'!$C$11)</f>
        <v>12.769572048998338</v>
      </c>
      <c r="O9" s="9">
        <f>F9*Supuestos!$D$40*((Supuestos!$D$46*E9*Supuestos!$D$22*Supuestos!$D$28/1000*Supuestos!$D$29/30.4+Supuestos!$D$46*E9*Supuestos!$D$33/1000000*Supuestos!$D$34)*'Precios Azure'!$C$12+Supuestos!$D$46*E9*Supuestos!$D$35/10000*'Precios Azure'!$C$13)</f>
        <v>7.6031077441775201</v>
      </c>
      <c r="P9" s="9">
        <f>F9*Supuestos!$D$40*30.4*'Precios Azure'!$C$5</f>
        <v>4.3957428659199991</v>
      </c>
      <c r="Q9" s="9">
        <f>F9*Supuestos!$D$40*MAX(0,Supuestos!$D$36-5)*'Precios Azure'!$C$14</f>
        <v>137.47979519999998</v>
      </c>
      <c r="R9" s="9">
        <f>F9*Supuestos!$D$39*Supuestos!$D$44</f>
        <v>4133.333333333333</v>
      </c>
      <c r="S9" s="9">
        <f t="shared" si="0"/>
        <v>5690.2515826804283</v>
      </c>
      <c r="T9" s="9">
        <f>D9*Supuestos!$D$19*Supuestos!$D$8</f>
        <v>611.76470588235304</v>
      </c>
      <c r="U9" s="9">
        <f t="shared" si="1"/>
        <v>-5078.4868767980752</v>
      </c>
      <c r="V9" s="9">
        <f>SUM($U$2:U9)</f>
        <v>-124028.35304467831</v>
      </c>
    </row>
    <row r="10" spans="1:22" x14ac:dyDescent="0.25">
      <c r="A10">
        <v>9</v>
      </c>
      <c r="B10" s="9">
        <f>IF(A10=1,Supuestos!$D$11,IF(A10=2,Supuestos!$D$12,IF(A10=3,Supuestos!$D$13,0)))*Supuestos!$D$45</f>
        <v>0</v>
      </c>
      <c r="C10" s="6">
        <f>IF(A10&lt;Supuestos!$D$15,0,IF(A10&gt;=Supuestos!$D$16,1,0.1+0.9*(A10-Supuestos!$D$15)/(Supuestos!$D$16-Supuestos!$D$15)))</f>
        <v>0.20588235294117646</v>
      </c>
      <c r="D10" s="9">
        <f>Supuestos!$D$17*Supuestos!$D$18*C10</f>
        <v>102.94117647058823</v>
      </c>
      <c r="E10" s="6">
        <f>IF(F10=0,0,IF(D10=0,0.05*Supuestos!$D$18,D10/Supuestos!$D$17))</f>
        <v>5.1470588235294115E-2</v>
      </c>
      <c r="F10" s="9">
        <f>IF(A10&gt;=Supuestos!$D$14,1,0)</f>
        <v>1</v>
      </c>
      <c r="G10" s="9">
        <f>IF(Supuestos!$D$9*Supuestos!$D$20*E10&gt;0,MAX(Supuestos!$D$25,CEILING(Supuestos!$D$9*Supuestos!$D$20*E10/Supuestos!$D$23,1)+Supuestos!$D$24),Supuestos!$D$25)</f>
        <v>2</v>
      </c>
      <c r="H10" s="9">
        <f>IF(Supuestos!$D$9*Supuestos!$D$21*E10&gt;0,MAX(Supuestos!$D$25,CEILING(Supuestos!$D$9*Supuestos!$D$21*E10/Supuestos!$D$23,1)+Supuestos!$D$24),Supuestos!$D$25)</f>
        <v>2</v>
      </c>
      <c r="I10" s="9">
        <f>F10*Supuestos!$D$40*(G10+H10)*365*Supuestos!$D$48</f>
        <v>191.59684185599997</v>
      </c>
      <c r="J10" s="9">
        <f>F10*Supuestos!$D$40*60*Supuestos!$D$48</f>
        <v>7.8738428159999989</v>
      </c>
      <c r="K10" s="9">
        <f>F10*Supuestos!$D$40*IF(Supuestos!$D$37=0,1,0)*('Precios Azure'!$C$6+MAX(0,Supuestos!$D$46*E10*Supuestos!$D$30/1000000-13)*'Precios Azure'!$C$7)</f>
        <v>0</v>
      </c>
      <c r="L10" s="9">
        <f>F10*Supuestos!$D$40*Supuestos!$D$37*730*'Precios Azure'!$C$8</f>
        <v>587.65235059999986</v>
      </c>
      <c r="M10" s="9">
        <f>F10*Supuestos!$D$40*Supuestos!$D$38*730*'Precios Azure'!$C$9</f>
        <v>607.5469962159998</v>
      </c>
      <c r="N10" s="9">
        <f>F10*Supuestos!$D$40*Supuestos!$D$46*E10*(Supuestos!$D$31/1000*'Precios Azure'!$C$10+Supuestos!$D$32/1000*'Precios Azure'!$C$11)</f>
        <v>17.189808527497764</v>
      </c>
      <c r="O10" s="9">
        <f>F10*Supuestos!$D$40*((Supuestos!$D$46*E10*Supuestos!$D$22*Supuestos!$D$28/1000*Supuestos!$D$29/30.4+Supuestos!$D$46*E10*Supuestos!$D$33/1000000*Supuestos!$D$34)*'Precios Azure'!$C$12+Supuestos!$D$46*E10*Supuestos!$D$35/10000*'Precios Azure'!$C$13)</f>
        <v>10.234952732546661</v>
      </c>
      <c r="P10" s="9">
        <f>F10*Supuestos!$D$40*30.4*'Precios Azure'!$C$5</f>
        <v>4.3957428659199991</v>
      </c>
      <c r="Q10" s="9">
        <f>F10*Supuestos!$D$40*MAX(0,Supuestos!$D$36-5)*'Precios Azure'!$C$14</f>
        <v>137.47979519999998</v>
      </c>
      <c r="R10" s="9">
        <f>F10*Supuestos!$D$39*Supuestos!$D$44</f>
        <v>4133.333333333333</v>
      </c>
      <c r="S10" s="9">
        <f t="shared" si="0"/>
        <v>5697.3036641472972</v>
      </c>
      <c r="T10" s="9">
        <f>D10*Supuestos!$D$19*Supuestos!$D$8</f>
        <v>823.52941176470597</v>
      </c>
      <c r="U10" s="9">
        <f t="shared" si="1"/>
        <v>-4873.7742523825909</v>
      </c>
      <c r="V10" s="9">
        <f>SUM($U$2:U10)</f>
        <v>-128902.1272970609</v>
      </c>
    </row>
    <row r="11" spans="1:22" x14ac:dyDescent="0.25">
      <c r="A11">
        <v>10</v>
      </c>
      <c r="B11" s="9">
        <f>IF(A11=1,Supuestos!$D$11,IF(A11=2,Supuestos!$D$12,IF(A11=3,Supuestos!$D$13,0)))*Supuestos!$D$45</f>
        <v>0</v>
      </c>
      <c r="C11" s="6">
        <f>IF(A11&lt;Supuestos!$D$15,0,IF(A11&gt;=Supuestos!$D$16,1,0.1+0.9*(A11-Supuestos!$D$15)/(Supuestos!$D$16-Supuestos!$D$15)))</f>
        <v>0.25882352941176473</v>
      </c>
      <c r="D11" s="9">
        <f>Supuestos!$D$17*Supuestos!$D$18*C11</f>
        <v>129.41176470588238</v>
      </c>
      <c r="E11" s="6">
        <f>IF(F11=0,0,IF(D11=0,0.05*Supuestos!$D$18,D11/Supuestos!$D$17))</f>
        <v>6.4705882352941183E-2</v>
      </c>
      <c r="F11" s="9">
        <f>IF(A11&gt;=Supuestos!$D$14,1,0)</f>
        <v>1</v>
      </c>
      <c r="G11" s="9">
        <f>IF(Supuestos!$D$9*Supuestos!$D$20*E11&gt;0,MAX(Supuestos!$D$25,CEILING(Supuestos!$D$9*Supuestos!$D$20*E11/Supuestos!$D$23,1)+Supuestos!$D$24),Supuestos!$D$25)</f>
        <v>2</v>
      </c>
      <c r="H11" s="9">
        <f>IF(Supuestos!$D$9*Supuestos!$D$21*E11&gt;0,MAX(Supuestos!$D$25,CEILING(Supuestos!$D$9*Supuestos!$D$21*E11/Supuestos!$D$23,1)+Supuestos!$D$24),Supuestos!$D$25)</f>
        <v>2</v>
      </c>
      <c r="I11" s="9">
        <f>F11*Supuestos!$D$40*(G11+H11)*365*Supuestos!$D$48</f>
        <v>191.59684185599997</v>
      </c>
      <c r="J11" s="9">
        <f>F11*Supuestos!$D$40*60*Supuestos!$D$48</f>
        <v>7.8738428159999989</v>
      </c>
      <c r="K11" s="9">
        <f>F11*Supuestos!$D$40*IF(Supuestos!$D$37=0,1,0)*('Precios Azure'!$C$6+MAX(0,Supuestos!$D$46*E11*Supuestos!$D$30/1000000-13)*'Precios Azure'!$C$7)</f>
        <v>0</v>
      </c>
      <c r="L11" s="9">
        <f>F11*Supuestos!$D$40*Supuestos!$D$37*730*'Precios Azure'!$C$8</f>
        <v>587.65235059999986</v>
      </c>
      <c r="M11" s="9">
        <f>F11*Supuestos!$D$40*Supuestos!$D$38*730*'Precios Azure'!$C$9</f>
        <v>607.5469962159998</v>
      </c>
      <c r="N11" s="9">
        <f>F11*Supuestos!$D$40*Supuestos!$D$46*E11*(Supuestos!$D$31/1000*'Precios Azure'!$C$10+Supuestos!$D$32/1000*'Precios Azure'!$C$11)</f>
        <v>21.61004500599719</v>
      </c>
      <c r="O11" s="9">
        <f>F11*Supuestos!$D$40*((Supuestos!$D$46*E11*Supuestos!$D$22*Supuestos!$D$28/1000*Supuestos!$D$29/30.4+Supuestos!$D$46*E11*Supuestos!$D$33/1000000*Supuestos!$D$34)*'Precios Azure'!$C$12+Supuestos!$D$46*E11*Supuestos!$D$35/10000*'Precios Azure'!$C$13)</f>
        <v>12.866797720915807</v>
      </c>
      <c r="P11" s="9">
        <f>F11*Supuestos!$D$40*30.4*'Precios Azure'!$C$5</f>
        <v>4.3957428659199991</v>
      </c>
      <c r="Q11" s="9">
        <f>F11*Supuestos!$D$40*MAX(0,Supuestos!$D$36-5)*'Precios Azure'!$C$14</f>
        <v>137.47979519999998</v>
      </c>
      <c r="R11" s="9">
        <f>F11*Supuestos!$D$39*Supuestos!$D$44</f>
        <v>4133.333333333333</v>
      </c>
      <c r="S11" s="9">
        <f t="shared" si="0"/>
        <v>5704.3557456141652</v>
      </c>
      <c r="T11" s="9">
        <f>D11*Supuestos!$D$19*Supuestos!$D$8</f>
        <v>1035.2941176470592</v>
      </c>
      <c r="U11" s="9">
        <f t="shared" si="1"/>
        <v>-4669.0616279671058</v>
      </c>
      <c r="V11" s="9">
        <f>SUM($U$2:U11)</f>
        <v>-133571.18892502799</v>
      </c>
    </row>
    <row r="12" spans="1:22" x14ac:dyDescent="0.25">
      <c r="A12">
        <v>11</v>
      </c>
      <c r="B12" s="9">
        <f>IF(A12=1,Supuestos!$D$11,IF(A12=2,Supuestos!$D$12,IF(A12=3,Supuestos!$D$13,0)))*Supuestos!$D$45</f>
        <v>0</v>
      </c>
      <c r="C12" s="6">
        <f>IF(A12&lt;Supuestos!$D$15,0,IF(A12&gt;=Supuestos!$D$16,1,0.1+0.9*(A12-Supuestos!$D$15)/(Supuestos!$D$16-Supuestos!$D$15)))</f>
        <v>0.31176470588235294</v>
      </c>
      <c r="D12" s="9">
        <f>Supuestos!$D$17*Supuestos!$D$18*C12</f>
        <v>155.88235294117646</v>
      </c>
      <c r="E12" s="6">
        <f>IF(F12=0,0,IF(D12=0,0.05*Supuestos!$D$18,D12/Supuestos!$D$17))</f>
        <v>7.7941176470588236E-2</v>
      </c>
      <c r="F12" s="9">
        <f>IF(A12&gt;=Supuestos!$D$14,1,0)</f>
        <v>1</v>
      </c>
      <c r="G12" s="9">
        <f>IF(Supuestos!$D$9*Supuestos!$D$20*E12&gt;0,MAX(Supuestos!$D$25,CEILING(Supuestos!$D$9*Supuestos!$D$20*E12/Supuestos!$D$23,1)+Supuestos!$D$24),Supuestos!$D$25)</f>
        <v>2</v>
      </c>
      <c r="H12" s="9">
        <f>IF(Supuestos!$D$9*Supuestos!$D$21*E12&gt;0,MAX(Supuestos!$D$25,CEILING(Supuestos!$D$9*Supuestos!$D$21*E12/Supuestos!$D$23,1)+Supuestos!$D$24),Supuestos!$D$25)</f>
        <v>2</v>
      </c>
      <c r="I12" s="9">
        <f>F12*Supuestos!$D$40*(G12+H12)*365*Supuestos!$D$48</f>
        <v>191.59684185599997</v>
      </c>
      <c r="J12" s="9">
        <f>F12*Supuestos!$D$40*60*Supuestos!$D$48</f>
        <v>7.8738428159999989</v>
      </c>
      <c r="K12" s="9">
        <f>F12*Supuestos!$D$40*IF(Supuestos!$D$37=0,1,0)*('Precios Azure'!$C$6+MAX(0,Supuestos!$D$46*E12*Supuestos!$D$30/1000000-13)*'Precios Azure'!$C$7)</f>
        <v>0</v>
      </c>
      <c r="L12" s="9">
        <f>F12*Supuestos!$D$40*Supuestos!$D$37*730*'Precios Azure'!$C$8</f>
        <v>587.65235059999986</v>
      </c>
      <c r="M12" s="9">
        <f>F12*Supuestos!$D$40*Supuestos!$D$38*730*'Precios Azure'!$C$9</f>
        <v>607.5469962159998</v>
      </c>
      <c r="N12" s="9">
        <f>F12*Supuestos!$D$40*Supuestos!$D$46*E12*(Supuestos!$D$31/1000*'Precios Azure'!$C$10+Supuestos!$D$32/1000*'Precios Azure'!$C$11)</f>
        <v>26.030281484496612</v>
      </c>
      <c r="O12" s="9">
        <f>F12*Supuestos!$D$40*((Supuestos!$D$46*E12*Supuestos!$D$22*Supuestos!$D$28/1000*Supuestos!$D$29/30.4+Supuestos!$D$46*E12*Supuestos!$D$33/1000000*Supuestos!$D$34)*'Precios Azure'!$C$12+Supuestos!$D$46*E12*Supuestos!$D$35/10000*'Precios Azure'!$C$13)</f>
        <v>15.498642709284947</v>
      </c>
      <c r="P12" s="9">
        <f>F12*Supuestos!$D$40*30.4*'Precios Azure'!$C$5</f>
        <v>4.3957428659199991</v>
      </c>
      <c r="Q12" s="9">
        <f>F12*Supuestos!$D$40*MAX(0,Supuestos!$D$36-5)*'Precios Azure'!$C$14</f>
        <v>137.47979519999998</v>
      </c>
      <c r="R12" s="9">
        <f>F12*Supuestos!$D$39*Supuestos!$D$44</f>
        <v>4133.333333333333</v>
      </c>
      <c r="S12" s="9">
        <f t="shared" si="0"/>
        <v>5711.4078270810342</v>
      </c>
      <c r="T12" s="9">
        <f>D12*Supuestos!$D$19*Supuestos!$D$8</f>
        <v>1247.0588235294117</v>
      </c>
      <c r="U12" s="9">
        <f t="shared" si="1"/>
        <v>-4464.3490035516224</v>
      </c>
      <c r="V12" s="9">
        <f>SUM($U$2:U12)</f>
        <v>-138035.53792857961</v>
      </c>
    </row>
    <row r="13" spans="1:22" x14ac:dyDescent="0.25">
      <c r="A13">
        <v>12</v>
      </c>
      <c r="B13" s="9">
        <f>IF(A13=1,Supuestos!$D$11,IF(A13=2,Supuestos!$D$12,IF(A13=3,Supuestos!$D$13,0)))*Supuestos!$D$45</f>
        <v>0</v>
      </c>
      <c r="C13" s="6">
        <f>IF(A13&lt;Supuestos!$D$15,0,IF(A13&gt;=Supuestos!$D$16,1,0.1+0.9*(A13-Supuestos!$D$15)/(Supuestos!$D$16-Supuestos!$D$15)))</f>
        <v>0.36470588235294121</v>
      </c>
      <c r="D13" s="9">
        <f>Supuestos!$D$17*Supuestos!$D$18*C13</f>
        <v>182.35294117647061</v>
      </c>
      <c r="E13" s="6">
        <f>IF(F13=0,0,IF(D13=0,0.05*Supuestos!$D$18,D13/Supuestos!$D$17))</f>
        <v>9.1176470588235303E-2</v>
      </c>
      <c r="F13" s="9">
        <f>IF(A13&gt;=Supuestos!$D$14,1,0)</f>
        <v>1</v>
      </c>
      <c r="G13" s="9">
        <f>IF(Supuestos!$D$9*Supuestos!$D$20*E13&gt;0,MAX(Supuestos!$D$25,CEILING(Supuestos!$D$9*Supuestos!$D$20*E13/Supuestos!$D$23,1)+Supuestos!$D$24),Supuestos!$D$25)</f>
        <v>2</v>
      </c>
      <c r="H13" s="9">
        <f>IF(Supuestos!$D$9*Supuestos!$D$21*E13&gt;0,MAX(Supuestos!$D$25,CEILING(Supuestos!$D$9*Supuestos!$D$21*E13/Supuestos!$D$23,1)+Supuestos!$D$24),Supuestos!$D$25)</f>
        <v>2</v>
      </c>
      <c r="I13" s="9">
        <f>F13*Supuestos!$D$40*(G13+H13)*365*Supuestos!$D$48</f>
        <v>191.59684185599997</v>
      </c>
      <c r="J13" s="9">
        <f>F13*Supuestos!$D$40*60*Supuestos!$D$48</f>
        <v>7.8738428159999989</v>
      </c>
      <c r="K13" s="9">
        <f>F13*Supuestos!$D$40*IF(Supuestos!$D$37=0,1,0)*('Precios Azure'!$C$6+MAX(0,Supuestos!$D$46*E13*Supuestos!$D$30/1000000-13)*'Precios Azure'!$C$7)</f>
        <v>0</v>
      </c>
      <c r="L13" s="9">
        <f>F13*Supuestos!$D$40*Supuestos!$D$37*730*'Precios Azure'!$C$8</f>
        <v>587.65235059999986</v>
      </c>
      <c r="M13" s="9">
        <f>F13*Supuestos!$D$40*Supuestos!$D$38*730*'Precios Azure'!$C$9</f>
        <v>607.5469962159998</v>
      </c>
      <c r="N13" s="9">
        <f>F13*Supuestos!$D$40*Supuestos!$D$46*E13*(Supuestos!$D$31/1000*'Precios Azure'!$C$10+Supuestos!$D$32/1000*'Precios Azure'!$C$11)</f>
        <v>30.450517962996042</v>
      </c>
      <c r="O13" s="9">
        <f>F13*Supuestos!$D$40*((Supuestos!$D$46*E13*Supuestos!$D$22*Supuestos!$D$28/1000*Supuestos!$D$29/30.4+Supuestos!$D$46*E13*Supuestos!$D$33/1000000*Supuestos!$D$34)*'Precios Azure'!$C$12+Supuestos!$D$46*E13*Supuestos!$D$35/10000*'Precios Azure'!$C$13)</f>
        <v>18.13048769765409</v>
      </c>
      <c r="P13" s="9">
        <f>F13*Supuestos!$D$40*30.4*'Precios Azure'!$C$5</f>
        <v>4.3957428659199991</v>
      </c>
      <c r="Q13" s="9">
        <f>F13*Supuestos!$D$40*MAX(0,Supuestos!$D$36-5)*'Precios Azure'!$C$14</f>
        <v>137.47979519999998</v>
      </c>
      <c r="R13" s="9">
        <f>F13*Supuestos!$D$39*Supuestos!$D$44</f>
        <v>4133.333333333333</v>
      </c>
      <c r="S13" s="9">
        <f t="shared" si="0"/>
        <v>5718.4599085479022</v>
      </c>
      <c r="T13" s="9">
        <f>D13*Supuestos!$D$19*Supuestos!$D$8</f>
        <v>1458.8235294117649</v>
      </c>
      <c r="U13" s="9">
        <f t="shared" si="1"/>
        <v>-4259.6363791361373</v>
      </c>
      <c r="V13" s="9">
        <f>SUM($U$2:U13)</f>
        <v>-142295.17430771576</v>
      </c>
    </row>
    <row r="14" spans="1:22" x14ac:dyDescent="0.25">
      <c r="A14">
        <v>13</v>
      </c>
      <c r="B14" s="9">
        <f>IF(A14=1,Supuestos!$D$11,IF(A14=2,Supuestos!$D$12,IF(A14=3,Supuestos!$D$13,0)))*Supuestos!$D$45</f>
        <v>0</v>
      </c>
      <c r="C14" s="6">
        <f>IF(A14&lt;Supuestos!$D$15,0,IF(A14&gt;=Supuestos!$D$16,1,0.1+0.9*(A14-Supuestos!$D$15)/(Supuestos!$D$16-Supuestos!$D$15)))</f>
        <v>0.41764705882352948</v>
      </c>
      <c r="D14" s="9">
        <f>Supuestos!$D$17*Supuestos!$D$18*C14</f>
        <v>208.82352941176475</v>
      </c>
      <c r="E14" s="6">
        <f>IF(F14=0,0,IF(D14=0,0.05*Supuestos!$D$18,D14/Supuestos!$D$17))</f>
        <v>0.10441176470588237</v>
      </c>
      <c r="F14" s="9">
        <f>IF(A14&gt;=Supuestos!$D$14,1,0)</f>
        <v>1</v>
      </c>
      <c r="G14" s="9">
        <f>IF(Supuestos!$D$9*Supuestos!$D$20*E14&gt;0,MAX(Supuestos!$D$25,CEILING(Supuestos!$D$9*Supuestos!$D$20*E14/Supuestos!$D$23,1)+Supuestos!$D$24),Supuestos!$D$25)</f>
        <v>2</v>
      </c>
      <c r="H14" s="9">
        <f>IF(Supuestos!$D$9*Supuestos!$D$21*E14&gt;0,MAX(Supuestos!$D$25,CEILING(Supuestos!$D$9*Supuestos!$D$21*E14/Supuestos!$D$23,1)+Supuestos!$D$24),Supuestos!$D$25)</f>
        <v>2</v>
      </c>
      <c r="I14" s="9">
        <f>F14*Supuestos!$D$40*(G14+H14)*365*Supuestos!$D$48</f>
        <v>191.59684185599997</v>
      </c>
      <c r="J14" s="9">
        <f>F14*Supuestos!$D$40*60*Supuestos!$D$48</f>
        <v>7.8738428159999989</v>
      </c>
      <c r="K14" s="9">
        <f>F14*Supuestos!$D$40*IF(Supuestos!$D$37=0,1,0)*('Precios Azure'!$C$6+MAX(0,Supuestos!$D$46*E14*Supuestos!$D$30/1000000-13)*'Precios Azure'!$C$7)</f>
        <v>0</v>
      </c>
      <c r="L14" s="9">
        <f>F14*Supuestos!$D$40*Supuestos!$D$37*730*'Precios Azure'!$C$8</f>
        <v>587.65235059999986</v>
      </c>
      <c r="M14" s="9">
        <f>F14*Supuestos!$D$40*Supuestos!$D$38*730*'Precios Azure'!$C$9</f>
        <v>607.5469962159998</v>
      </c>
      <c r="N14" s="9">
        <f>F14*Supuestos!$D$40*Supuestos!$D$46*E14*(Supuestos!$D$31/1000*'Precios Azure'!$C$10+Supuestos!$D$32/1000*'Precios Azure'!$C$11)</f>
        <v>34.870754441495471</v>
      </c>
      <c r="O14" s="9">
        <f>F14*Supuestos!$D$40*((Supuestos!$D$46*E14*Supuestos!$D$22*Supuestos!$D$28/1000*Supuestos!$D$29/30.4+Supuestos!$D$46*E14*Supuestos!$D$33/1000000*Supuestos!$D$34)*'Precios Azure'!$C$12+Supuestos!$D$46*E14*Supuestos!$D$35/10000*'Precios Azure'!$C$13)</f>
        <v>20.762332686023235</v>
      </c>
      <c r="P14" s="9">
        <f>F14*Supuestos!$D$40*30.4*'Precios Azure'!$C$5</f>
        <v>4.3957428659199991</v>
      </c>
      <c r="Q14" s="9">
        <f>F14*Supuestos!$D$40*MAX(0,Supuestos!$D$36-5)*'Precios Azure'!$C$14</f>
        <v>137.47979519999998</v>
      </c>
      <c r="R14" s="9">
        <f>F14*Supuestos!$D$39*Supuestos!$D$44</f>
        <v>4133.333333333333</v>
      </c>
      <c r="S14" s="9">
        <f t="shared" si="0"/>
        <v>5725.5119900147711</v>
      </c>
      <c r="T14" s="9">
        <f>D14*Supuestos!$D$19*Supuestos!$D$8</f>
        <v>1670.5882352941182</v>
      </c>
      <c r="U14" s="9">
        <f t="shared" si="1"/>
        <v>-4054.9237547206531</v>
      </c>
      <c r="V14" s="9">
        <f>SUM($U$2:U14)</f>
        <v>-146350.09806243642</v>
      </c>
    </row>
    <row r="15" spans="1:22" x14ac:dyDescent="0.25">
      <c r="A15">
        <v>14</v>
      </c>
      <c r="B15" s="9">
        <f>IF(A15=1,Supuestos!$D$11,IF(A15=2,Supuestos!$D$12,IF(A15=3,Supuestos!$D$13,0)))*Supuestos!$D$45</f>
        <v>0</v>
      </c>
      <c r="C15" s="6">
        <f>IF(A15&lt;Supuestos!$D$15,0,IF(A15&gt;=Supuestos!$D$16,1,0.1+0.9*(A15-Supuestos!$D$15)/(Supuestos!$D$16-Supuestos!$D$15)))</f>
        <v>0.47058823529411764</v>
      </c>
      <c r="D15" s="9">
        <f>Supuestos!$D$17*Supuestos!$D$18*C15</f>
        <v>235.29411764705881</v>
      </c>
      <c r="E15" s="6">
        <f>IF(F15=0,0,IF(D15=0,0.05*Supuestos!$D$18,D15/Supuestos!$D$17))</f>
        <v>0.11764705882352941</v>
      </c>
      <c r="F15" s="9">
        <f>IF(A15&gt;=Supuestos!$D$14,1,0)</f>
        <v>1</v>
      </c>
      <c r="G15" s="9">
        <f>IF(Supuestos!$D$9*Supuestos!$D$20*E15&gt;0,MAX(Supuestos!$D$25,CEILING(Supuestos!$D$9*Supuestos!$D$20*E15/Supuestos!$D$23,1)+Supuestos!$D$24),Supuestos!$D$25)</f>
        <v>2</v>
      </c>
      <c r="H15" s="9">
        <f>IF(Supuestos!$D$9*Supuestos!$D$21*E15&gt;0,MAX(Supuestos!$D$25,CEILING(Supuestos!$D$9*Supuestos!$D$21*E15/Supuestos!$D$23,1)+Supuestos!$D$24),Supuestos!$D$25)</f>
        <v>2</v>
      </c>
      <c r="I15" s="9">
        <f>F15*Supuestos!$D$40*(G15+H15)*365*Supuestos!$D$48</f>
        <v>191.59684185599997</v>
      </c>
      <c r="J15" s="9">
        <f>F15*Supuestos!$D$40*60*Supuestos!$D$48</f>
        <v>7.8738428159999989</v>
      </c>
      <c r="K15" s="9">
        <f>F15*Supuestos!$D$40*IF(Supuestos!$D$37=0,1,0)*('Precios Azure'!$C$6+MAX(0,Supuestos!$D$46*E15*Supuestos!$D$30/1000000-13)*'Precios Azure'!$C$7)</f>
        <v>0</v>
      </c>
      <c r="L15" s="9">
        <f>F15*Supuestos!$D$40*Supuestos!$D$37*730*'Precios Azure'!$C$8</f>
        <v>587.65235059999986</v>
      </c>
      <c r="M15" s="9">
        <f>F15*Supuestos!$D$40*Supuestos!$D$38*730*'Precios Azure'!$C$9</f>
        <v>607.5469962159998</v>
      </c>
      <c r="N15" s="9">
        <f>F15*Supuestos!$D$40*Supuestos!$D$46*E15*(Supuestos!$D$31/1000*'Precios Azure'!$C$10+Supuestos!$D$32/1000*'Precios Azure'!$C$11)</f>
        <v>39.290990919994883</v>
      </c>
      <c r="O15" s="9">
        <f>F15*Supuestos!$D$40*((Supuestos!$D$46*E15*Supuestos!$D$22*Supuestos!$D$28/1000*Supuestos!$D$29/30.4+Supuestos!$D$46*E15*Supuestos!$D$33/1000000*Supuestos!$D$34)*'Precios Azure'!$C$12+Supuestos!$D$46*E15*Supuestos!$D$35/10000*'Precios Azure'!$C$13)</f>
        <v>23.394177674392374</v>
      </c>
      <c r="P15" s="9">
        <f>F15*Supuestos!$D$40*30.4*'Precios Azure'!$C$5</f>
        <v>4.3957428659199991</v>
      </c>
      <c r="Q15" s="9">
        <f>F15*Supuestos!$D$40*MAX(0,Supuestos!$D$36-5)*'Precios Azure'!$C$14</f>
        <v>137.47979519999998</v>
      </c>
      <c r="R15" s="9">
        <f>F15*Supuestos!$D$39*Supuestos!$D$44</f>
        <v>4133.333333333333</v>
      </c>
      <c r="S15" s="9">
        <f t="shared" si="0"/>
        <v>5732.56407148164</v>
      </c>
      <c r="T15" s="9">
        <f>D15*Supuestos!$D$19*Supuestos!$D$8</f>
        <v>1882.3529411764707</v>
      </c>
      <c r="U15" s="9">
        <f t="shared" si="1"/>
        <v>-3850.2111303051693</v>
      </c>
      <c r="V15" s="9">
        <f>SUM($U$2:U15)</f>
        <v>-150200.30919274158</v>
      </c>
    </row>
    <row r="16" spans="1:22" x14ac:dyDescent="0.25">
      <c r="A16">
        <v>15</v>
      </c>
      <c r="B16" s="9">
        <f>IF(A16=1,Supuestos!$D$11,IF(A16=2,Supuestos!$D$12,IF(A16=3,Supuestos!$D$13,0)))*Supuestos!$D$45</f>
        <v>0</v>
      </c>
      <c r="C16" s="6">
        <f>IF(A16&lt;Supuestos!$D$15,0,IF(A16&gt;=Supuestos!$D$16,1,0.1+0.9*(A16-Supuestos!$D$15)/(Supuestos!$D$16-Supuestos!$D$15)))</f>
        <v>0.52352941176470591</v>
      </c>
      <c r="D16" s="9">
        <f>Supuestos!$D$17*Supuestos!$D$18*C16</f>
        <v>261.76470588235293</v>
      </c>
      <c r="E16" s="6">
        <f>IF(F16=0,0,IF(D16=0,0.05*Supuestos!$D$18,D16/Supuestos!$D$17))</f>
        <v>0.13088235294117648</v>
      </c>
      <c r="F16" s="9">
        <f>IF(A16&gt;=Supuestos!$D$14,1,0)</f>
        <v>1</v>
      </c>
      <c r="G16" s="9">
        <f>IF(Supuestos!$D$9*Supuestos!$D$20*E16&gt;0,MAX(Supuestos!$D$25,CEILING(Supuestos!$D$9*Supuestos!$D$20*E16/Supuestos!$D$23,1)+Supuestos!$D$24),Supuestos!$D$25)</f>
        <v>2</v>
      </c>
      <c r="H16" s="9">
        <f>IF(Supuestos!$D$9*Supuestos!$D$21*E16&gt;0,MAX(Supuestos!$D$25,CEILING(Supuestos!$D$9*Supuestos!$D$21*E16/Supuestos!$D$23,1)+Supuestos!$D$24),Supuestos!$D$25)</f>
        <v>2</v>
      </c>
      <c r="I16" s="9">
        <f>F16*Supuestos!$D$40*(G16+H16)*365*Supuestos!$D$48</f>
        <v>191.59684185599997</v>
      </c>
      <c r="J16" s="9">
        <f>F16*Supuestos!$D$40*60*Supuestos!$D$48</f>
        <v>7.8738428159999989</v>
      </c>
      <c r="K16" s="9">
        <f>F16*Supuestos!$D$40*IF(Supuestos!$D$37=0,1,0)*('Precios Azure'!$C$6+MAX(0,Supuestos!$D$46*E16*Supuestos!$D$30/1000000-13)*'Precios Azure'!$C$7)</f>
        <v>0</v>
      </c>
      <c r="L16" s="9">
        <f>F16*Supuestos!$D$40*Supuestos!$D$37*730*'Precios Azure'!$C$8</f>
        <v>587.65235059999986</v>
      </c>
      <c r="M16" s="9">
        <f>F16*Supuestos!$D$40*Supuestos!$D$38*730*'Precios Azure'!$C$9</f>
        <v>607.5469962159998</v>
      </c>
      <c r="N16" s="9">
        <f>F16*Supuestos!$D$40*Supuestos!$D$46*E16*(Supuestos!$D$31/1000*'Precios Azure'!$C$10+Supuestos!$D$32/1000*'Precios Azure'!$C$11)</f>
        <v>43.711227398494309</v>
      </c>
      <c r="O16" s="9">
        <f>F16*Supuestos!$D$40*((Supuestos!$D$46*E16*Supuestos!$D$22*Supuestos!$D$28/1000*Supuestos!$D$29/30.4+Supuestos!$D$46*E16*Supuestos!$D$33/1000000*Supuestos!$D$34)*'Precios Azure'!$C$12+Supuestos!$D$46*E16*Supuestos!$D$35/10000*'Precios Azure'!$C$13)</f>
        <v>26.026022662761513</v>
      </c>
      <c r="P16" s="9">
        <f>F16*Supuestos!$D$40*30.4*'Precios Azure'!$C$5</f>
        <v>4.3957428659199991</v>
      </c>
      <c r="Q16" s="9">
        <f>F16*Supuestos!$D$40*MAX(0,Supuestos!$D$36-5)*'Precios Azure'!$C$14</f>
        <v>137.47979519999998</v>
      </c>
      <c r="R16" s="9">
        <f>F16*Supuestos!$D$39*Supuestos!$D$44</f>
        <v>4133.333333333333</v>
      </c>
      <c r="S16" s="9">
        <f t="shared" si="0"/>
        <v>5739.616152948508</v>
      </c>
      <c r="T16" s="9">
        <f>D16*Supuestos!$D$19*Supuestos!$D$8</f>
        <v>2094.1176470588234</v>
      </c>
      <c r="U16" s="9">
        <f t="shared" si="1"/>
        <v>-3645.4985058896846</v>
      </c>
      <c r="V16" s="9">
        <f>SUM($U$2:U16)</f>
        <v>-153845.80769863125</v>
      </c>
    </row>
    <row r="17" spans="1:22" x14ac:dyDescent="0.25">
      <c r="A17">
        <v>16</v>
      </c>
      <c r="B17" s="9">
        <f>IF(A17=1,Supuestos!$D$11,IF(A17=2,Supuestos!$D$12,IF(A17=3,Supuestos!$D$13,0)))*Supuestos!$D$45</f>
        <v>0</v>
      </c>
      <c r="C17" s="6">
        <f>IF(A17&lt;Supuestos!$D$15,0,IF(A17&gt;=Supuestos!$D$16,1,0.1+0.9*(A17-Supuestos!$D$15)/(Supuestos!$D$16-Supuestos!$D$15)))</f>
        <v>0.57647058823529407</v>
      </c>
      <c r="D17" s="9">
        <f>Supuestos!$D$17*Supuestos!$D$18*C17</f>
        <v>288.23529411764702</v>
      </c>
      <c r="E17" s="6">
        <f>IF(F17=0,0,IF(D17=0,0.05*Supuestos!$D$18,D17/Supuestos!$D$17))</f>
        <v>0.14411764705882352</v>
      </c>
      <c r="F17" s="9">
        <f>IF(A17&gt;=Supuestos!$D$14,1,0)</f>
        <v>1</v>
      </c>
      <c r="G17" s="9">
        <f>IF(Supuestos!$D$9*Supuestos!$D$20*E17&gt;0,MAX(Supuestos!$D$25,CEILING(Supuestos!$D$9*Supuestos!$D$20*E17/Supuestos!$D$23,1)+Supuestos!$D$24),Supuestos!$D$25)</f>
        <v>3</v>
      </c>
      <c r="H17" s="9">
        <f>IF(Supuestos!$D$9*Supuestos!$D$21*E17&gt;0,MAX(Supuestos!$D$25,CEILING(Supuestos!$D$9*Supuestos!$D$21*E17/Supuestos!$D$23,1)+Supuestos!$D$24),Supuestos!$D$25)</f>
        <v>2</v>
      </c>
      <c r="I17" s="9">
        <f>F17*Supuestos!$D$40*(G17+H17)*365*Supuestos!$D$48</f>
        <v>239.49605231999999</v>
      </c>
      <c r="J17" s="9">
        <f>F17*Supuestos!$D$40*60*Supuestos!$D$48</f>
        <v>7.8738428159999989</v>
      </c>
      <c r="K17" s="9">
        <f>F17*Supuestos!$D$40*IF(Supuestos!$D$37=0,1,0)*('Precios Azure'!$C$6+MAX(0,Supuestos!$D$46*E17*Supuestos!$D$30/1000000-13)*'Precios Azure'!$C$7)</f>
        <v>0</v>
      </c>
      <c r="L17" s="9">
        <f>F17*Supuestos!$D$40*Supuestos!$D$37*730*'Precios Azure'!$C$8</f>
        <v>587.65235059999986</v>
      </c>
      <c r="M17" s="9">
        <f>F17*Supuestos!$D$40*Supuestos!$D$38*730*'Precios Azure'!$C$9</f>
        <v>607.5469962159998</v>
      </c>
      <c r="N17" s="9">
        <f>F17*Supuestos!$D$40*Supuestos!$D$46*E17*(Supuestos!$D$31/1000*'Precios Azure'!$C$10+Supuestos!$D$32/1000*'Precios Azure'!$C$11)</f>
        <v>48.131463876993728</v>
      </c>
      <c r="O17" s="9">
        <f>F17*Supuestos!$D$40*((Supuestos!$D$46*E17*Supuestos!$D$22*Supuestos!$D$28/1000*Supuestos!$D$29/30.4+Supuestos!$D$46*E17*Supuestos!$D$33/1000000*Supuestos!$D$34)*'Precios Azure'!$C$12+Supuestos!$D$46*E17*Supuestos!$D$35/10000*'Precios Azure'!$C$13)</f>
        <v>28.657867651130658</v>
      </c>
      <c r="P17" s="9">
        <f>F17*Supuestos!$D$40*30.4*'Precios Azure'!$C$5</f>
        <v>4.3957428659199991</v>
      </c>
      <c r="Q17" s="9">
        <f>F17*Supuestos!$D$40*MAX(0,Supuestos!$D$36-5)*'Precios Azure'!$C$14</f>
        <v>137.47979519999998</v>
      </c>
      <c r="R17" s="9">
        <f>F17*Supuestos!$D$39*Supuestos!$D$44</f>
        <v>4133.333333333333</v>
      </c>
      <c r="S17" s="9">
        <f t="shared" si="0"/>
        <v>5794.567444879377</v>
      </c>
      <c r="T17" s="9">
        <f>D17*Supuestos!$D$19*Supuestos!$D$8</f>
        <v>2305.8823529411761</v>
      </c>
      <c r="U17" s="9">
        <f t="shared" si="1"/>
        <v>-3488.6850919382009</v>
      </c>
      <c r="V17" s="9">
        <f>SUM($U$2:U17)</f>
        <v>-157334.49279056946</v>
      </c>
    </row>
    <row r="18" spans="1:22" x14ac:dyDescent="0.25">
      <c r="A18">
        <v>17</v>
      </c>
      <c r="B18" s="9">
        <f>IF(A18=1,Supuestos!$D$11,IF(A18=2,Supuestos!$D$12,IF(A18=3,Supuestos!$D$13,0)))*Supuestos!$D$45</f>
        <v>0</v>
      </c>
      <c r="C18" s="6">
        <f>IF(A18&lt;Supuestos!$D$15,0,IF(A18&gt;=Supuestos!$D$16,1,0.1+0.9*(A18-Supuestos!$D$15)/(Supuestos!$D$16-Supuestos!$D$15)))</f>
        <v>0.62941176470588234</v>
      </c>
      <c r="D18" s="9">
        <f>Supuestos!$D$17*Supuestos!$D$18*C18</f>
        <v>314.70588235294116</v>
      </c>
      <c r="E18" s="6">
        <f>IF(F18=0,0,IF(D18=0,0.05*Supuestos!$D$18,D18/Supuestos!$D$17))</f>
        <v>0.15735294117647058</v>
      </c>
      <c r="F18" s="9">
        <f>IF(A18&gt;=Supuestos!$D$14,1,0)</f>
        <v>1</v>
      </c>
      <c r="G18" s="9">
        <f>IF(Supuestos!$D$9*Supuestos!$D$20*E18&gt;0,MAX(Supuestos!$D$25,CEILING(Supuestos!$D$9*Supuestos!$D$20*E18/Supuestos!$D$23,1)+Supuestos!$D$24),Supuestos!$D$25)</f>
        <v>3</v>
      </c>
      <c r="H18" s="9">
        <f>IF(Supuestos!$D$9*Supuestos!$D$21*E18&gt;0,MAX(Supuestos!$D$25,CEILING(Supuestos!$D$9*Supuestos!$D$21*E18/Supuestos!$D$23,1)+Supuestos!$D$24),Supuestos!$D$25)</f>
        <v>2</v>
      </c>
      <c r="I18" s="9">
        <f>F18*Supuestos!$D$40*(G18+H18)*365*Supuestos!$D$48</f>
        <v>239.49605231999999</v>
      </c>
      <c r="J18" s="9">
        <f>F18*Supuestos!$D$40*60*Supuestos!$D$48</f>
        <v>7.8738428159999989</v>
      </c>
      <c r="K18" s="9">
        <f>F18*Supuestos!$D$40*IF(Supuestos!$D$37=0,1,0)*('Precios Azure'!$C$6+MAX(0,Supuestos!$D$46*E18*Supuestos!$D$30/1000000-13)*'Precios Azure'!$C$7)</f>
        <v>0</v>
      </c>
      <c r="L18" s="9">
        <f>F18*Supuestos!$D$40*Supuestos!$D$37*730*'Precios Azure'!$C$8</f>
        <v>587.65235059999986</v>
      </c>
      <c r="M18" s="9">
        <f>F18*Supuestos!$D$40*Supuestos!$D$38*730*'Precios Azure'!$C$9</f>
        <v>607.5469962159998</v>
      </c>
      <c r="N18" s="9">
        <f>F18*Supuestos!$D$40*Supuestos!$D$46*E18*(Supuestos!$D$31/1000*'Precios Azure'!$C$10+Supuestos!$D$32/1000*'Precios Azure'!$C$11)</f>
        <v>52.551700355493153</v>
      </c>
      <c r="O18" s="9">
        <f>F18*Supuestos!$D$40*((Supuestos!$D$46*E18*Supuestos!$D$22*Supuestos!$D$28/1000*Supuestos!$D$29/30.4+Supuestos!$D$46*E18*Supuestos!$D$33/1000000*Supuestos!$D$34)*'Precios Azure'!$C$12+Supuestos!$D$46*E18*Supuestos!$D$35/10000*'Precios Azure'!$C$13)</f>
        <v>31.289712639499793</v>
      </c>
      <c r="P18" s="9">
        <f>F18*Supuestos!$D$40*30.4*'Precios Azure'!$C$5</f>
        <v>4.3957428659199991</v>
      </c>
      <c r="Q18" s="9">
        <f>F18*Supuestos!$D$40*MAX(0,Supuestos!$D$36-5)*'Precios Azure'!$C$14</f>
        <v>137.47979519999998</v>
      </c>
      <c r="R18" s="9">
        <f>F18*Supuestos!$D$39*Supuestos!$D$44</f>
        <v>4133.333333333333</v>
      </c>
      <c r="S18" s="9">
        <f t="shared" si="0"/>
        <v>5801.6195263462459</v>
      </c>
      <c r="T18" s="9">
        <f>D18*Supuestos!$D$19*Supuestos!$D$8</f>
        <v>2517.6470588235297</v>
      </c>
      <c r="U18" s="9">
        <f t="shared" si="1"/>
        <v>-3283.9724675227162</v>
      </c>
      <c r="V18" s="9">
        <f>SUM($U$2:U18)</f>
        <v>-160618.46525809218</v>
      </c>
    </row>
    <row r="19" spans="1:22" x14ac:dyDescent="0.25">
      <c r="A19">
        <v>18</v>
      </c>
      <c r="B19" s="9">
        <f>IF(A19=1,Supuestos!$D$11,IF(A19=2,Supuestos!$D$12,IF(A19=3,Supuestos!$D$13,0)))*Supuestos!$D$45</f>
        <v>0</v>
      </c>
      <c r="C19" s="6">
        <f>IF(A19&lt;Supuestos!$D$15,0,IF(A19&gt;=Supuestos!$D$16,1,0.1+0.9*(A19-Supuestos!$D$15)/(Supuestos!$D$16-Supuestos!$D$15)))</f>
        <v>0.68235294117647061</v>
      </c>
      <c r="D19" s="9">
        <f>Supuestos!$D$17*Supuestos!$D$18*C19</f>
        <v>341.1764705882353</v>
      </c>
      <c r="E19" s="6">
        <f>IF(F19=0,0,IF(D19=0,0.05*Supuestos!$D$18,D19/Supuestos!$D$17))</f>
        <v>0.17058823529411765</v>
      </c>
      <c r="F19" s="9">
        <f>IF(A19&gt;=Supuestos!$D$14,1,0)</f>
        <v>1</v>
      </c>
      <c r="G19" s="9">
        <f>IF(Supuestos!$D$9*Supuestos!$D$20*E19&gt;0,MAX(Supuestos!$D$25,CEILING(Supuestos!$D$9*Supuestos!$D$20*E19/Supuestos!$D$23,1)+Supuestos!$D$24),Supuestos!$D$25)</f>
        <v>3</v>
      </c>
      <c r="H19" s="9">
        <f>IF(Supuestos!$D$9*Supuestos!$D$21*E19&gt;0,MAX(Supuestos!$D$25,CEILING(Supuestos!$D$9*Supuestos!$D$21*E19/Supuestos!$D$23,1)+Supuestos!$D$24),Supuestos!$D$25)</f>
        <v>2</v>
      </c>
      <c r="I19" s="9">
        <f>F19*Supuestos!$D$40*(G19+H19)*365*Supuestos!$D$48</f>
        <v>239.49605231999999</v>
      </c>
      <c r="J19" s="9">
        <f>F19*Supuestos!$D$40*60*Supuestos!$D$48</f>
        <v>7.8738428159999989</v>
      </c>
      <c r="K19" s="9">
        <f>F19*Supuestos!$D$40*IF(Supuestos!$D$37=0,1,0)*('Precios Azure'!$C$6+MAX(0,Supuestos!$D$46*E19*Supuestos!$D$30/1000000-13)*'Precios Azure'!$C$7)</f>
        <v>0</v>
      </c>
      <c r="L19" s="9">
        <f>F19*Supuestos!$D$40*Supuestos!$D$37*730*'Precios Azure'!$C$8</f>
        <v>587.65235059999986</v>
      </c>
      <c r="M19" s="9">
        <f>F19*Supuestos!$D$40*Supuestos!$D$38*730*'Precios Azure'!$C$9</f>
        <v>607.5469962159998</v>
      </c>
      <c r="N19" s="9">
        <f>F19*Supuestos!$D$40*Supuestos!$D$46*E19*(Supuestos!$D$31/1000*'Precios Azure'!$C$10+Supuestos!$D$32/1000*'Precios Azure'!$C$11)</f>
        <v>56.971936833992586</v>
      </c>
      <c r="O19" s="9">
        <f>F19*Supuestos!$D$40*((Supuestos!$D$46*E19*Supuestos!$D$22*Supuestos!$D$28/1000*Supuestos!$D$29/30.4+Supuestos!$D$46*E19*Supuestos!$D$33/1000000*Supuestos!$D$34)*'Precios Azure'!$C$12+Supuestos!$D$46*E19*Supuestos!$D$35/10000*'Precios Azure'!$C$13)</f>
        <v>33.921557627868943</v>
      </c>
      <c r="P19" s="9">
        <f>F19*Supuestos!$D$40*30.4*'Precios Azure'!$C$5</f>
        <v>4.3957428659199991</v>
      </c>
      <c r="Q19" s="9">
        <f>F19*Supuestos!$D$40*MAX(0,Supuestos!$D$36-5)*'Precios Azure'!$C$14</f>
        <v>137.47979519999998</v>
      </c>
      <c r="R19" s="9">
        <f>F19*Supuestos!$D$39*Supuestos!$D$44</f>
        <v>4133.333333333333</v>
      </c>
      <c r="S19" s="9">
        <f t="shared" si="0"/>
        <v>5808.671607813114</v>
      </c>
      <c r="T19" s="9">
        <f>D19*Supuestos!$D$19*Supuestos!$D$8</f>
        <v>2729.4117647058829</v>
      </c>
      <c r="U19" s="9">
        <f t="shared" si="1"/>
        <v>-3079.2598431072311</v>
      </c>
      <c r="V19" s="9">
        <f>SUM($U$2:U19)</f>
        <v>-163697.72510119941</v>
      </c>
    </row>
    <row r="20" spans="1:22" x14ac:dyDescent="0.25">
      <c r="A20">
        <v>19</v>
      </c>
      <c r="B20" s="9">
        <f>IF(A20=1,Supuestos!$D$11,IF(A20=2,Supuestos!$D$12,IF(A20=3,Supuestos!$D$13,0)))*Supuestos!$D$45</f>
        <v>0</v>
      </c>
      <c r="C20" s="6">
        <f>IF(A20&lt;Supuestos!$D$15,0,IF(A20&gt;=Supuestos!$D$16,1,0.1+0.9*(A20-Supuestos!$D$15)/(Supuestos!$D$16-Supuestos!$D$15)))</f>
        <v>0.73529411764705888</v>
      </c>
      <c r="D20" s="9">
        <f>Supuestos!$D$17*Supuestos!$D$18*C20</f>
        <v>367.64705882352945</v>
      </c>
      <c r="E20" s="6">
        <f>IF(F20=0,0,IF(D20=0,0.05*Supuestos!$D$18,D20/Supuestos!$D$17))</f>
        <v>0.18382352941176472</v>
      </c>
      <c r="F20" s="9">
        <f>IF(A20&gt;=Supuestos!$D$14,1,0)</f>
        <v>1</v>
      </c>
      <c r="G20" s="9">
        <f>IF(Supuestos!$D$9*Supuestos!$D$20*E20&gt;0,MAX(Supuestos!$D$25,CEILING(Supuestos!$D$9*Supuestos!$D$20*E20/Supuestos!$D$23,1)+Supuestos!$D$24),Supuestos!$D$25)</f>
        <v>3</v>
      </c>
      <c r="H20" s="9">
        <f>IF(Supuestos!$D$9*Supuestos!$D$21*E20&gt;0,MAX(Supuestos!$D$25,CEILING(Supuestos!$D$9*Supuestos!$D$21*E20/Supuestos!$D$23,1)+Supuestos!$D$24),Supuestos!$D$25)</f>
        <v>2</v>
      </c>
      <c r="I20" s="9">
        <f>F20*Supuestos!$D$40*(G20+H20)*365*Supuestos!$D$48</f>
        <v>239.49605231999999</v>
      </c>
      <c r="J20" s="9">
        <f>F20*Supuestos!$D$40*60*Supuestos!$D$48</f>
        <v>7.8738428159999989</v>
      </c>
      <c r="K20" s="9">
        <f>F20*Supuestos!$D$40*IF(Supuestos!$D$37=0,1,0)*('Precios Azure'!$C$6+MAX(0,Supuestos!$D$46*E20*Supuestos!$D$30/1000000-13)*'Precios Azure'!$C$7)</f>
        <v>0</v>
      </c>
      <c r="L20" s="9">
        <f>F20*Supuestos!$D$40*Supuestos!$D$37*730*'Precios Azure'!$C$8</f>
        <v>587.65235059999986</v>
      </c>
      <c r="M20" s="9">
        <f>F20*Supuestos!$D$40*Supuestos!$D$38*730*'Precios Azure'!$C$9</f>
        <v>607.5469962159998</v>
      </c>
      <c r="N20" s="9">
        <f>F20*Supuestos!$D$40*Supuestos!$D$46*E20*(Supuestos!$D$31/1000*'Precios Azure'!$C$10+Supuestos!$D$32/1000*'Precios Azure'!$C$11)</f>
        <v>61.392173312492019</v>
      </c>
      <c r="O20" s="9">
        <f>F20*Supuestos!$D$40*((Supuestos!$D$46*E20*Supuestos!$D$22*Supuestos!$D$28/1000*Supuestos!$D$29/30.4+Supuestos!$D$46*E20*Supuestos!$D$33/1000000*Supuestos!$D$34)*'Precios Azure'!$C$12+Supuestos!$D$46*E20*Supuestos!$D$35/10000*'Precios Azure'!$C$13)</f>
        <v>36.553402616238074</v>
      </c>
      <c r="P20" s="9">
        <f>F20*Supuestos!$D$40*30.4*'Precios Azure'!$C$5</f>
        <v>4.3957428659199991</v>
      </c>
      <c r="Q20" s="9">
        <f>F20*Supuestos!$D$40*MAX(0,Supuestos!$D$36-5)*'Precios Azure'!$C$14</f>
        <v>137.47979519999998</v>
      </c>
      <c r="R20" s="9">
        <f>F20*Supuestos!$D$39*Supuestos!$D$44</f>
        <v>4133.333333333333</v>
      </c>
      <c r="S20" s="9">
        <f t="shared" si="0"/>
        <v>5815.7236892799829</v>
      </c>
      <c r="T20" s="9">
        <f>D20*Supuestos!$D$19*Supuestos!$D$8</f>
        <v>2941.176470588236</v>
      </c>
      <c r="U20" s="9">
        <f t="shared" si="1"/>
        <v>-2874.5472186917468</v>
      </c>
      <c r="V20" s="9">
        <f>SUM($U$2:U20)</f>
        <v>-166572.27231989114</v>
      </c>
    </row>
    <row r="21" spans="1:22" x14ac:dyDescent="0.25">
      <c r="A21">
        <v>20</v>
      </c>
      <c r="B21" s="9">
        <f>IF(A21=1,Supuestos!$D$11,IF(A21=2,Supuestos!$D$12,IF(A21=3,Supuestos!$D$13,0)))*Supuestos!$D$45</f>
        <v>0</v>
      </c>
      <c r="C21" s="6">
        <f>IF(A21&lt;Supuestos!$D$15,0,IF(A21&gt;=Supuestos!$D$16,1,0.1+0.9*(A21-Supuestos!$D$15)/(Supuestos!$D$16-Supuestos!$D$15)))</f>
        <v>0.78823529411764715</v>
      </c>
      <c r="D21" s="9">
        <f>Supuestos!$D$17*Supuestos!$D$18*C21</f>
        <v>394.11764705882359</v>
      </c>
      <c r="E21" s="6">
        <f>IF(F21=0,0,IF(D21=0,0.05*Supuestos!$D$18,D21/Supuestos!$D$17))</f>
        <v>0.19705882352941179</v>
      </c>
      <c r="F21" s="9">
        <f>IF(A21&gt;=Supuestos!$D$14,1,0)</f>
        <v>1</v>
      </c>
      <c r="G21" s="9">
        <f>IF(Supuestos!$D$9*Supuestos!$D$20*E21&gt;0,MAX(Supuestos!$D$25,CEILING(Supuestos!$D$9*Supuestos!$D$20*E21/Supuestos!$D$23,1)+Supuestos!$D$24),Supuestos!$D$25)</f>
        <v>3</v>
      </c>
      <c r="H21" s="9">
        <f>IF(Supuestos!$D$9*Supuestos!$D$21*E21&gt;0,MAX(Supuestos!$D$25,CEILING(Supuestos!$D$9*Supuestos!$D$21*E21/Supuestos!$D$23,1)+Supuestos!$D$24),Supuestos!$D$25)</f>
        <v>2</v>
      </c>
      <c r="I21" s="9">
        <f>F21*Supuestos!$D$40*(G21+H21)*365*Supuestos!$D$48</f>
        <v>239.49605231999999</v>
      </c>
      <c r="J21" s="9">
        <f>F21*Supuestos!$D$40*60*Supuestos!$D$48</f>
        <v>7.8738428159999989</v>
      </c>
      <c r="K21" s="9">
        <f>F21*Supuestos!$D$40*IF(Supuestos!$D$37=0,1,0)*('Precios Azure'!$C$6+MAX(0,Supuestos!$D$46*E21*Supuestos!$D$30/1000000-13)*'Precios Azure'!$C$7)</f>
        <v>0</v>
      </c>
      <c r="L21" s="9">
        <f>F21*Supuestos!$D$40*Supuestos!$D$37*730*'Precios Azure'!$C$8</f>
        <v>587.65235059999986</v>
      </c>
      <c r="M21" s="9">
        <f>F21*Supuestos!$D$40*Supuestos!$D$38*730*'Precios Azure'!$C$9</f>
        <v>607.5469962159998</v>
      </c>
      <c r="N21" s="9">
        <f>F21*Supuestos!$D$40*Supuestos!$D$46*E21*(Supuestos!$D$31/1000*'Precios Azure'!$C$10+Supuestos!$D$32/1000*'Precios Azure'!$C$11)</f>
        <v>65.812409790991438</v>
      </c>
      <c r="O21" s="9">
        <f>F21*Supuestos!$D$40*((Supuestos!$D$46*E21*Supuestos!$D$22*Supuestos!$D$28/1000*Supuestos!$D$29/30.4+Supuestos!$D$46*E21*Supuestos!$D$33/1000000*Supuestos!$D$34)*'Precios Azure'!$C$12+Supuestos!$D$46*E21*Supuestos!$D$35/10000*'Precios Azure'!$C$13)</f>
        <v>39.185247604607227</v>
      </c>
      <c r="P21" s="9">
        <f>F21*Supuestos!$D$40*30.4*'Precios Azure'!$C$5</f>
        <v>4.3957428659199991</v>
      </c>
      <c r="Q21" s="9">
        <f>F21*Supuestos!$D$40*MAX(0,Supuestos!$D$36-5)*'Precios Azure'!$C$14</f>
        <v>137.47979519999998</v>
      </c>
      <c r="R21" s="9">
        <f>F21*Supuestos!$D$39*Supuestos!$D$44</f>
        <v>4133.333333333333</v>
      </c>
      <c r="S21" s="9">
        <f t="shared" si="0"/>
        <v>5822.7757707468518</v>
      </c>
      <c r="T21" s="9">
        <f>D21*Supuestos!$D$19*Supuestos!$D$8</f>
        <v>3152.9411764705892</v>
      </c>
      <c r="U21" s="9">
        <f t="shared" si="1"/>
        <v>-2669.8345942762626</v>
      </c>
      <c r="V21" s="9">
        <f>SUM($U$2:U21)</f>
        <v>-169242.10691416741</v>
      </c>
    </row>
    <row r="22" spans="1:22" x14ac:dyDescent="0.25">
      <c r="A22">
        <v>21</v>
      </c>
      <c r="B22" s="9">
        <f>IF(A22=1,Supuestos!$D$11,IF(A22=2,Supuestos!$D$12,IF(A22=3,Supuestos!$D$13,0)))*Supuestos!$D$45</f>
        <v>0</v>
      </c>
      <c r="C22" s="6">
        <f>IF(A22&lt;Supuestos!$D$15,0,IF(A22&gt;=Supuestos!$D$16,1,0.1+0.9*(A22-Supuestos!$D$15)/(Supuestos!$D$16-Supuestos!$D$15)))</f>
        <v>0.8411764705882353</v>
      </c>
      <c r="D22" s="9">
        <f>Supuestos!$D$17*Supuestos!$D$18*C22</f>
        <v>420.58823529411762</v>
      </c>
      <c r="E22" s="6">
        <f>IF(F22=0,0,IF(D22=0,0.05*Supuestos!$D$18,D22/Supuestos!$D$17))</f>
        <v>0.2102941176470588</v>
      </c>
      <c r="F22" s="9">
        <f>IF(A22&gt;=Supuestos!$D$14,1,0)</f>
        <v>1</v>
      </c>
      <c r="G22" s="9">
        <f>IF(Supuestos!$D$9*Supuestos!$D$20*E22&gt;0,MAX(Supuestos!$D$25,CEILING(Supuestos!$D$9*Supuestos!$D$20*E22/Supuestos!$D$23,1)+Supuestos!$D$24),Supuestos!$D$25)</f>
        <v>3</v>
      </c>
      <c r="H22" s="9">
        <f>IF(Supuestos!$D$9*Supuestos!$D$21*E22&gt;0,MAX(Supuestos!$D$25,CEILING(Supuestos!$D$9*Supuestos!$D$21*E22/Supuestos!$D$23,1)+Supuestos!$D$24),Supuestos!$D$25)</f>
        <v>2</v>
      </c>
      <c r="I22" s="9">
        <f>F22*Supuestos!$D$40*(G22+H22)*365*Supuestos!$D$48</f>
        <v>239.49605231999999</v>
      </c>
      <c r="J22" s="9">
        <f>F22*Supuestos!$D$40*60*Supuestos!$D$48</f>
        <v>7.8738428159999989</v>
      </c>
      <c r="K22" s="9">
        <f>F22*Supuestos!$D$40*IF(Supuestos!$D$37=0,1,0)*('Precios Azure'!$C$6+MAX(0,Supuestos!$D$46*E22*Supuestos!$D$30/1000000-13)*'Precios Azure'!$C$7)</f>
        <v>0</v>
      </c>
      <c r="L22" s="9">
        <f>F22*Supuestos!$D$40*Supuestos!$D$37*730*'Precios Azure'!$C$8</f>
        <v>587.65235059999986</v>
      </c>
      <c r="M22" s="9">
        <f>F22*Supuestos!$D$40*Supuestos!$D$38*730*'Precios Azure'!$C$9</f>
        <v>607.5469962159998</v>
      </c>
      <c r="N22" s="9">
        <f>F22*Supuestos!$D$40*Supuestos!$D$46*E22*(Supuestos!$D$31/1000*'Precios Azure'!$C$10+Supuestos!$D$32/1000*'Precios Azure'!$C$11)</f>
        <v>70.232646269490857</v>
      </c>
      <c r="O22" s="9">
        <f>F22*Supuestos!$D$40*((Supuestos!$D$46*E22*Supuestos!$D$22*Supuestos!$D$28/1000*Supuestos!$D$29/30.4+Supuestos!$D$46*E22*Supuestos!$D$33/1000000*Supuestos!$D$34)*'Precios Azure'!$C$12+Supuestos!$D$46*E22*Supuestos!$D$35/10000*'Precios Azure'!$C$13)</f>
        <v>41.817092592976358</v>
      </c>
      <c r="P22" s="9">
        <f>F22*Supuestos!$D$40*30.4*'Precios Azure'!$C$5</f>
        <v>4.3957428659199991</v>
      </c>
      <c r="Q22" s="9">
        <f>F22*Supuestos!$D$40*MAX(0,Supuestos!$D$36-5)*'Precios Azure'!$C$14</f>
        <v>137.47979519999998</v>
      </c>
      <c r="R22" s="9">
        <f>F22*Supuestos!$D$39*Supuestos!$D$44</f>
        <v>4133.333333333333</v>
      </c>
      <c r="S22" s="9">
        <f t="shared" si="0"/>
        <v>5829.8278522137198</v>
      </c>
      <c r="T22" s="9">
        <f>D22*Supuestos!$D$19*Supuestos!$D$8</f>
        <v>3364.7058823529414</v>
      </c>
      <c r="U22" s="9">
        <f t="shared" si="1"/>
        <v>-2465.1219698607783</v>
      </c>
      <c r="V22" s="9">
        <f>SUM($U$2:U22)</f>
        <v>-171707.22888402818</v>
      </c>
    </row>
    <row r="23" spans="1:22" x14ac:dyDescent="0.25">
      <c r="A23">
        <v>22</v>
      </c>
      <c r="B23" s="9">
        <f>IF(A23=1,Supuestos!$D$11,IF(A23=2,Supuestos!$D$12,IF(A23=3,Supuestos!$D$13,0)))*Supuestos!$D$45</f>
        <v>0</v>
      </c>
      <c r="C23" s="6">
        <f>IF(A23&lt;Supuestos!$D$15,0,IF(A23&gt;=Supuestos!$D$16,1,0.1+0.9*(A23-Supuestos!$D$15)/(Supuestos!$D$16-Supuestos!$D$15)))</f>
        <v>0.89411764705882346</v>
      </c>
      <c r="D23" s="9">
        <f>Supuestos!$D$17*Supuestos!$D$18*C23</f>
        <v>447.05882352941171</v>
      </c>
      <c r="E23" s="6">
        <f>IF(F23=0,0,IF(D23=0,0.05*Supuestos!$D$18,D23/Supuestos!$D$17))</f>
        <v>0.22352941176470587</v>
      </c>
      <c r="F23" s="9">
        <f>IF(A23&gt;=Supuestos!$D$14,1,0)</f>
        <v>1</v>
      </c>
      <c r="G23" s="9">
        <f>IF(Supuestos!$D$9*Supuestos!$D$20*E23&gt;0,MAX(Supuestos!$D$25,CEILING(Supuestos!$D$9*Supuestos!$D$20*E23/Supuestos!$D$23,1)+Supuestos!$D$24),Supuestos!$D$25)</f>
        <v>3</v>
      </c>
      <c r="H23" s="9">
        <f>IF(Supuestos!$D$9*Supuestos!$D$21*E23&gt;0,MAX(Supuestos!$D$25,CEILING(Supuestos!$D$9*Supuestos!$D$21*E23/Supuestos!$D$23,1)+Supuestos!$D$24),Supuestos!$D$25)</f>
        <v>2</v>
      </c>
      <c r="I23" s="9">
        <f>F23*Supuestos!$D$40*(G23+H23)*365*Supuestos!$D$48</f>
        <v>239.49605231999999</v>
      </c>
      <c r="J23" s="9">
        <f>F23*Supuestos!$D$40*60*Supuestos!$D$48</f>
        <v>7.8738428159999989</v>
      </c>
      <c r="K23" s="9">
        <f>F23*Supuestos!$D$40*IF(Supuestos!$D$37=0,1,0)*('Precios Azure'!$C$6+MAX(0,Supuestos!$D$46*E23*Supuestos!$D$30/1000000-13)*'Precios Azure'!$C$7)</f>
        <v>0</v>
      </c>
      <c r="L23" s="9">
        <f>F23*Supuestos!$D$40*Supuestos!$D$37*730*'Precios Azure'!$C$8</f>
        <v>587.65235059999986</v>
      </c>
      <c r="M23" s="9">
        <f>F23*Supuestos!$D$40*Supuestos!$D$38*730*'Precios Azure'!$C$9</f>
        <v>607.5469962159998</v>
      </c>
      <c r="N23" s="9">
        <f>F23*Supuestos!$D$40*Supuestos!$D$46*E23*(Supuestos!$D$31/1000*'Precios Azure'!$C$10+Supuestos!$D$32/1000*'Precios Azure'!$C$11)</f>
        <v>74.652882747990276</v>
      </c>
      <c r="O23" s="9">
        <f>F23*Supuestos!$D$40*((Supuestos!$D$46*E23*Supuestos!$D$22*Supuestos!$D$28/1000*Supuestos!$D$29/30.4+Supuestos!$D$46*E23*Supuestos!$D$33/1000000*Supuestos!$D$34)*'Precios Azure'!$C$12+Supuestos!$D$46*E23*Supuestos!$D$35/10000*'Precios Azure'!$C$13)</f>
        <v>44.44893758134549</v>
      </c>
      <c r="P23" s="9">
        <f>F23*Supuestos!$D$40*30.4*'Precios Azure'!$C$5</f>
        <v>4.3957428659199991</v>
      </c>
      <c r="Q23" s="9">
        <f>F23*Supuestos!$D$40*MAX(0,Supuestos!$D$36-5)*'Precios Azure'!$C$14</f>
        <v>137.47979519999998</v>
      </c>
      <c r="R23" s="9">
        <f>F23*Supuestos!$D$39*Supuestos!$D$44</f>
        <v>4133.333333333333</v>
      </c>
      <c r="S23" s="9">
        <f t="shared" si="0"/>
        <v>5836.8799336805887</v>
      </c>
      <c r="T23" s="9">
        <f>D23*Supuestos!$D$19*Supuestos!$D$8</f>
        <v>3576.4705882352937</v>
      </c>
      <c r="U23" s="9">
        <f t="shared" si="1"/>
        <v>-2260.409345445295</v>
      </c>
      <c r="V23" s="9">
        <f>SUM($U$2:U23)</f>
        <v>-173967.63822947346</v>
      </c>
    </row>
    <row r="24" spans="1:22" x14ac:dyDescent="0.25">
      <c r="A24">
        <v>23</v>
      </c>
      <c r="B24" s="9">
        <f>IF(A24=1,Supuestos!$D$11,IF(A24=2,Supuestos!$D$12,IF(A24=3,Supuestos!$D$13,0)))*Supuestos!$D$45</f>
        <v>0</v>
      </c>
      <c r="C24" s="6">
        <f>IF(A24&lt;Supuestos!$D$15,0,IF(A24&gt;=Supuestos!$D$16,1,0.1+0.9*(A24-Supuestos!$D$15)/(Supuestos!$D$16-Supuestos!$D$15)))</f>
        <v>0.94705882352941173</v>
      </c>
      <c r="D24" s="9">
        <f>Supuestos!$D$17*Supuestos!$D$18*C24</f>
        <v>473.52941176470586</v>
      </c>
      <c r="E24" s="6">
        <f>IF(F24=0,0,IF(D24=0,0.05*Supuestos!$D$18,D24/Supuestos!$D$17))</f>
        <v>0.23676470588235293</v>
      </c>
      <c r="F24" s="9">
        <f>IF(A24&gt;=Supuestos!$D$14,1,0)</f>
        <v>1</v>
      </c>
      <c r="G24" s="9">
        <f>IF(Supuestos!$D$9*Supuestos!$D$20*E24&gt;0,MAX(Supuestos!$D$25,CEILING(Supuestos!$D$9*Supuestos!$D$20*E24/Supuestos!$D$23,1)+Supuestos!$D$24),Supuestos!$D$25)</f>
        <v>3</v>
      </c>
      <c r="H24" s="9">
        <f>IF(Supuestos!$D$9*Supuestos!$D$21*E24&gt;0,MAX(Supuestos!$D$25,CEILING(Supuestos!$D$9*Supuestos!$D$21*E24/Supuestos!$D$23,1)+Supuestos!$D$24),Supuestos!$D$25)</f>
        <v>2</v>
      </c>
      <c r="I24" s="9">
        <f>F24*Supuestos!$D$40*(G24+H24)*365*Supuestos!$D$48</f>
        <v>239.49605231999999</v>
      </c>
      <c r="J24" s="9">
        <f>F24*Supuestos!$D$40*60*Supuestos!$D$48</f>
        <v>7.8738428159999989</v>
      </c>
      <c r="K24" s="9">
        <f>F24*Supuestos!$D$40*IF(Supuestos!$D$37=0,1,0)*('Precios Azure'!$C$6+MAX(0,Supuestos!$D$46*E24*Supuestos!$D$30/1000000-13)*'Precios Azure'!$C$7)</f>
        <v>0</v>
      </c>
      <c r="L24" s="9">
        <f>F24*Supuestos!$D$40*Supuestos!$D$37*730*'Precios Azure'!$C$8</f>
        <v>587.65235059999986</v>
      </c>
      <c r="M24" s="9">
        <f>F24*Supuestos!$D$40*Supuestos!$D$38*730*'Precios Azure'!$C$9</f>
        <v>607.5469962159998</v>
      </c>
      <c r="N24" s="9">
        <f>F24*Supuestos!$D$40*Supuestos!$D$46*E24*(Supuestos!$D$31/1000*'Precios Azure'!$C$10+Supuestos!$D$32/1000*'Precios Azure'!$C$11)</f>
        <v>79.073119226489695</v>
      </c>
      <c r="O24" s="9">
        <f>F24*Supuestos!$D$40*((Supuestos!$D$46*E24*Supuestos!$D$22*Supuestos!$D$28/1000*Supuestos!$D$29/30.4+Supuestos!$D$46*E24*Supuestos!$D$33/1000000*Supuestos!$D$34)*'Precios Azure'!$C$12+Supuestos!$D$46*E24*Supuestos!$D$35/10000*'Precios Azure'!$C$13)</f>
        <v>47.080782569714636</v>
      </c>
      <c r="P24" s="9">
        <f>F24*Supuestos!$D$40*30.4*'Precios Azure'!$C$5</f>
        <v>4.3957428659199991</v>
      </c>
      <c r="Q24" s="9">
        <f>F24*Supuestos!$D$40*MAX(0,Supuestos!$D$36-5)*'Precios Azure'!$C$14</f>
        <v>137.47979519999998</v>
      </c>
      <c r="R24" s="9">
        <f>F24*Supuestos!$D$39*Supuestos!$D$44</f>
        <v>4133.333333333333</v>
      </c>
      <c r="S24" s="9">
        <f t="shared" si="0"/>
        <v>5843.9320151474567</v>
      </c>
      <c r="T24" s="9">
        <f>D24*Supuestos!$D$19*Supuestos!$D$8</f>
        <v>3788.2352941176468</v>
      </c>
      <c r="U24" s="9">
        <f t="shared" si="1"/>
        <v>-2055.6967210298099</v>
      </c>
      <c r="V24" s="9">
        <f>SUM($U$2:U24)</f>
        <v>-176023.33495050328</v>
      </c>
    </row>
    <row r="25" spans="1:22" x14ac:dyDescent="0.25">
      <c r="A25">
        <v>24</v>
      </c>
      <c r="B25" s="9">
        <f>IF(A25=1,Supuestos!$D$11,IF(A25=2,Supuestos!$D$12,IF(A25=3,Supuestos!$D$13,0)))*Supuestos!$D$45</f>
        <v>0</v>
      </c>
      <c r="C25" s="6">
        <f>IF(A25&lt;Supuestos!$D$15,0,IF(A25&gt;=Supuestos!$D$16,1,0.1+0.9*(A25-Supuestos!$D$15)/(Supuestos!$D$16-Supuestos!$D$15)))</f>
        <v>1</v>
      </c>
      <c r="D25" s="9">
        <f>Supuestos!$D$17*Supuestos!$D$18*C25</f>
        <v>500</v>
      </c>
      <c r="E25" s="6">
        <f>IF(F25=0,0,IF(D25=0,0.05*Supuestos!$D$18,D25/Supuestos!$D$17))</f>
        <v>0.25</v>
      </c>
      <c r="F25" s="9">
        <f>IF(A25&gt;=Supuestos!$D$14,1,0)</f>
        <v>1</v>
      </c>
      <c r="G25" s="9">
        <f>IF(Supuestos!$D$9*Supuestos!$D$20*E25&gt;0,MAX(Supuestos!$D$25,CEILING(Supuestos!$D$9*Supuestos!$D$20*E25/Supuestos!$D$23,1)+Supuestos!$D$24),Supuestos!$D$25)</f>
        <v>3</v>
      </c>
      <c r="H25" s="9">
        <f>IF(Supuestos!$D$9*Supuestos!$D$21*E25&gt;0,MAX(Supuestos!$D$25,CEILING(Supuestos!$D$9*Supuestos!$D$21*E25/Supuestos!$D$23,1)+Supuestos!$D$24),Supuestos!$D$25)</f>
        <v>2</v>
      </c>
      <c r="I25" s="9">
        <f>F25*Supuestos!$D$40*(G25+H25)*365*Supuestos!$D$48</f>
        <v>239.49605231999999</v>
      </c>
      <c r="J25" s="9">
        <f>F25*Supuestos!$D$40*60*Supuestos!$D$48</f>
        <v>7.8738428159999989</v>
      </c>
      <c r="K25" s="9">
        <f>F25*Supuestos!$D$40*IF(Supuestos!$D$37=0,1,0)*('Precios Azure'!$C$6+MAX(0,Supuestos!$D$46*E25*Supuestos!$D$30/1000000-13)*'Precios Azure'!$C$7)</f>
        <v>0</v>
      </c>
      <c r="L25" s="9">
        <f>F25*Supuestos!$D$40*Supuestos!$D$37*730*'Precios Azure'!$C$8</f>
        <v>587.65235059999986</v>
      </c>
      <c r="M25" s="9">
        <f>F25*Supuestos!$D$40*Supuestos!$D$38*730*'Precios Azure'!$C$9</f>
        <v>607.5469962159998</v>
      </c>
      <c r="N25" s="9">
        <f>F25*Supuestos!$D$40*Supuestos!$D$46*E25*(Supuestos!$D$31/1000*'Precios Azure'!$C$10+Supuestos!$D$32/1000*'Precios Azure'!$C$11)</f>
        <v>83.493355704989128</v>
      </c>
      <c r="O25" s="9">
        <f>F25*Supuestos!$D$40*((Supuestos!$D$46*E25*Supuestos!$D$22*Supuestos!$D$28/1000*Supuestos!$D$29/30.4+Supuestos!$D$46*E25*Supuestos!$D$33/1000000*Supuestos!$D$34)*'Precios Azure'!$C$12+Supuestos!$D$46*E25*Supuestos!$D$35/10000*'Precios Azure'!$C$13)</f>
        <v>49.712627558083781</v>
      </c>
      <c r="P25" s="9">
        <f>F25*Supuestos!$D$40*30.4*'Precios Azure'!$C$5</f>
        <v>4.3957428659199991</v>
      </c>
      <c r="Q25" s="9">
        <f>F25*Supuestos!$D$40*MAX(0,Supuestos!$D$36-5)*'Precios Azure'!$C$14</f>
        <v>137.47979519999998</v>
      </c>
      <c r="R25" s="9">
        <f>F25*Supuestos!$D$39*Supuestos!$D$44</f>
        <v>4133.333333333333</v>
      </c>
      <c r="S25" s="9">
        <f t="shared" si="0"/>
        <v>5850.9840966143256</v>
      </c>
      <c r="T25" s="9">
        <f>D25*Supuestos!$D$19*Supuestos!$D$8</f>
        <v>4000</v>
      </c>
      <c r="U25" s="9">
        <f t="shared" si="1"/>
        <v>-1850.9840966143256</v>
      </c>
      <c r="V25" s="9">
        <f>SUM($U$2:U25)</f>
        <v>-177874.31904711761</v>
      </c>
    </row>
    <row r="26" spans="1:22" x14ac:dyDescent="0.25">
      <c r="A26">
        <v>25</v>
      </c>
      <c r="B26" s="9">
        <f>IF(A26=1,Supuestos!$D$11,IF(A26=2,Supuestos!$D$12,IF(A26=3,Supuestos!$D$13,0)))*Supuestos!$D$45</f>
        <v>0</v>
      </c>
      <c r="C26" s="6">
        <f>IF(A26&lt;Supuestos!$D$15,0,IF(A26&gt;=Supuestos!$D$16,1,0.1+0.9*(A26-Supuestos!$D$15)/(Supuestos!$D$16-Supuestos!$D$15)))</f>
        <v>1</v>
      </c>
      <c r="D26" s="9">
        <f>Supuestos!$D$17*Supuestos!$D$18*C26</f>
        <v>500</v>
      </c>
      <c r="E26" s="6">
        <f>IF(F26=0,0,IF(D26=0,0.05*Supuestos!$D$18,D26/Supuestos!$D$17))</f>
        <v>0.25</v>
      </c>
      <c r="F26" s="9">
        <f>IF(A26&gt;=Supuestos!$D$14,1,0)</f>
        <v>1</v>
      </c>
      <c r="G26" s="9">
        <f>IF(Supuestos!$D$9*Supuestos!$D$20*E26&gt;0,MAX(Supuestos!$D$25,CEILING(Supuestos!$D$9*Supuestos!$D$20*E26/Supuestos!$D$23,1)+Supuestos!$D$24),Supuestos!$D$25)</f>
        <v>3</v>
      </c>
      <c r="H26" s="9">
        <f>IF(Supuestos!$D$9*Supuestos!$D$21*E26&gt;0,MAX(Supuestos!$D$25,CEILING(Supuestos!$D$9*Supuestos!$D$21*E26/Supuestos!$D$23,1)+Supuestos!$D$24),Supuestos!$D$25)</f>
        <v>2</v>
      </c>
      <c r="I26" s="9">
        <f>F26*Supuestos!$D$40*(G26+H26)*365*Supuestos!$D$48</f>
        <v>239.49605231999999</v>
      </c>
      <c r="J26" s="9">
        <f>F26*Supuestos!$D$40*60*Supuestos!$D$48</f>
        <v>7.8738428159999989</v>
      </c>
      <c r="K26" s="9">
        <f>F26*Supuestos!$D$40*IF(Supuestos!$D$37=0,1,0)*('Precios Azure'!$C$6+MAX(0,Supuestos!$D$46*E26*Supuestos!$D$30/1000000-13)*'Precios Azure'!$C$7)</f>
        <v>0</v>
      </c>
      <c r="L26" s="9">
        <f>F26*Supuestos!$D$40*Supuestos!$D$37*730*'Precios Azure'!$C$8</f>
        <v>587.65235059999986</v>
      </c>
      <c r="M26" s="9">
        <f>F26*Supuestos!$D$40*Supuestos!$D$38*730*'Precios Azure'!$C$9</f>
        <v>607.5469962159998</v>
      </c>
      <c r="N26" s="9">
        <f>F26*Supuestos!$D$40*Supuestos!$D$46*E26*(Supuestos!$D$31/1000*'Precios Azure'!$C$10+Supuestos!$D$32/1000*'Precios Azure'!$C$11)</f>
        <v>83.493355704989128</v>
      </c>
      <c r="O26" s="9">
        <f>F26*Supuestos!$D$40*((Supuestos!$D$46*E26*Supuestos!$D$22*Supuestos!$D$28/1000*Supuestos!$D$29/30.4+Supuestos!$D$46*E26*Supuestos!$D$33/1000000*Supuestos!$D$34)*'Precios Azure'!$C$12+Supuestos!$D$46*E26*Supuestos!$D$35/10000*'Precios Azure'!$C$13)</f>
        <v>49.712627558083781</v>
      </c>
      <c r="P26" s="9">
        <f>F26*Supuestos!$D$40*30.4*'Precios Azure'!$C$5</f>
        <v>4.3957428659199991</v>
      </c>
      <c r="Q26" s="9">
        <f>F26*Supuestos!$D$40*MAX(0,Supuestos!$D$36-5)*'Precios Azure'!$C$14</f>
        <v>137.47979519999998</v>
      </c>
      <c r="R26" s="9">
        <f>F26*Supuestos!$D$39*Supuestos!$D$44</f>
        <v>4133.333333333333</v>
      </c>
      <c r="S26" s="9">
        <f t="shared" si="0"/>
        <v>5850.9840966143256</v>
      </c>
      <c r="T26" s="9">
        <f>D26*Supuestos!$D$19*Supuestos!$D$8</f>
        <v>4000</v>
      </c>
      <c r="U26" s="9">
        <f t="shared" si="1"/>
        <v>-1850.9840966143256</v>
      </c>
      <c r="V26" s="9">
        <f>SUM($U$2:U26)</f>
        <v>-179725.30314373193</v>
      </c>
    </row>
    <row r="27" spans="1:22" x14ac:dyDescent="0.25">
      <c r="A27">
        <v>26</v>
      </c>
      <c r="B27" s="9">
        <f>IF(A27=1,Supuestos!$D$11,IF(A27=2,Supuestos!$D$12,IF(A27=3,Supuestos!$D$13,0)))*Supuestos!$D$45</f>
        <v>0</v>
      </c>
      <c r="C27" s="6">
        <f>IF(A27&lt;Supuestos!$D$15,0,IF(A27&gt;=Supuestos!$D$16,1,0.1+0.9*(A27-Supuestos!$D$15)/(Supuestos!$D$16-Supuestos!$D$15)))</f>
        <v>1</v>
      </c>
      <c r="D27" s="9">
        <f>Supuestos!$D$17*Supuestos!$D$18*C27</f>
        <v>500</v>
      </c>
      <c r="E27" s="6">
        <f>IF(F27=0,0,IF(D27=0,0.05*Supuestos!$D$18,D27/Supuestos!$D$17))</f>
        <v>0.25</v>
      </c>
      <c r="F27" s="9">
        <f>IF(A27&gt;=Supuestos!$D$14,1,0)</f>
        <v>1</v>
      </c>
      <c r="G27" s="9">
        <f>IF(Supuestos!$D$9*Supuestos!$D$20*E27&gt;0,MAX(Supuestos!$D$25,CEILING(Supuestos!$D$9*Supuestos!$D$20*E27/Supuestos!$D$23,1)+Supuestos!$D$24),Supuestos!$D$25)</f>
        <v>3</v>
      </c>
      <c r="H27" s="9">
        <f>IF(Supuestos!$D$9*Supuestos!$D$21*E27&gt;0,MAX(Supuestos!$D$25,CEILING(Supuestos!$D$9*Supuestos!$D$21*E27/Supuestos!$D$23,1)+Supuestos!$D$24),Supuestos!$D$25)</f>
        <v>2</v>
      </c>
      <c r="I27" s="9">
        <f>F27*Supuestos!$D$40*(G27+H27)*365*Supuestos!$D$48</f>
        <v>239.49605231999999</v>
      </c>
      <c r="J27" s="9">
        <f>F27*Supuestos!$D$40*60*Supuestos!$D$48</f>
        <v>7.8738428159999989</v>
      </c>
      <c r="K27" s="9">
        <f>F27*Supuestos!$D$40*IF(Supuestos!$D$37=0,1,0)*('Precios Azure'!$C$6+MAX(0,Supuestos!$D$46*E27*Supuestos!$D$30/1000000-13)*'Precios Azure'!$C$7)</f>
        <v>0</v>
      </c>
      <c r="L27" s="9">
        <f>F27*Supuestos!$D$40*Supuestos!$D$37*730*'Precios Azure'!$C$8</f>
        <v>587.65235059999986</v>
      </c>
      <c r="M27" s="9">
        <f>F27*Supuestos!$D$40*Supuestos!$D$38*730*'Precios Azure'!$C$9</f>
        <v>607.5469962159998</v>
      </c>
      <c r="N27" s="9">
        <f>F27*Supuestos!$D$40*Supuestos!$D$46*E27*(Supuestos!$D$31/1000*'Precios Azure'!$C$10+Supuestos!$D$32/1000*'Precios Azure'!$C$11)</f>
        <v>83.493355704989128</v>
      </c>
      <c r="O27" s="9">
        <f>F27*Supuestos!$D$40*((Supuestos!$D$46*E27*Supuestos!$D$22*Supuestos!$D$28/1000*Supuestos!$D$29/30.4+Supuestos!$D$46*E27*Supuestos!$D$33/1000000*Supuestos!$D$34)*'Precios Azure'!$C$12+Supuestos!$D$46*E27*Supuestos!$D$35/10000*'Precios Azure'!$C$13)</f>
        <v>49.712627558083781</v>
      </c>
      <c r="P27" s="9">
        <f>F27*Supuestos!$D$40*30.4*'Precios Azure'!$C$5</f>
        <v>4.3957428659199991</v>
      </c>
      <c r="Q27" s="9">
        <f>F27*Supuestos!$D$40*MAX(0,Supuestos!$D$36-5)*'Precios Azure'!$C$14</f>
        <v>137.47979519999998</v>
      </c>
      <c r="R27" s="9">
        <f>F27*Supuestos!$D$39*Supuestos!$D$44</f>
        <v>4133.333333333333</v>
      </c>
      <c r="S27" s="9">
        <f t="shared" si="0"/>
        <v>5850.9840966143256</v>
      </c>
      <c r="T27" s="9">
        <f>D27*Supuestos!$D$19*Supuestos!$D$8</f>
        <v>4000</v>
      </c>
      <c r="U27" s="9">
        <f t="shared" si="1"/>
        <v>-1850.9840966143256</v>
      </c>
      <c r="V27" s="9">
        <f>SUM($U$2:U27)</f>
        <v>-181576.28724034625</v>
      </c>
    </row>
    <row r="28" spans="1:22" x14ac:dyDescent="0.25">
      <c r="A28">
        <v>27</v>
      </c>
      <c r="B28" s="9">
        <f>IF(A28=1,Supuestos!$D$11,IF(A28=2,Supuestos!$D$12,IF(A28=3,Supuestos!$D$13,0)))*Supuestos!$D$45</f>
        <v>0</v>
      </c>
      <c r="C28" s="6">
        <f>IF(A28&lt;Supuestos!$D$15,0,IF(A28&gt;=Supuestos!$D$16,1,0.1+0.9*(A28-Supuestos!$D$15)/(Supuestos!$D$16-Supuestos!$D$15)))</f>
        <v>1</v>
      </c>
      <c r="D28" s="9">
        <f>Supuestos!$D$17*Supuestos!$D$18*C28</f>
        <v>500</v>
      </c>
      <c r="E28" s="6">
        <f>IF(F28=0,0,IF(D28=0,0.05*Supuestos!$D$18,D28/Supuestos!$D$17))</f>
        <v>0.25</v>
      </c>
      <c r="F28" s="9">
        <f>IF(A28&gt;=Supuestos!$D$14,1,0)</f>
        <v>1</v>
      </c>
      <c r="G28" s="9">
        <f>IF(Supuestos!$D$9*Supuestos!$D$20*E28&gt;0,MAX(Supuestos!$D$25,CEILING(Supuestos!$D$9*Supuestos!$D$20*E28/Supuestos!$D$23,1)+Supuestos!$D$24),Supuestos!$D$25)</f>
        <v>3</v>
      </c>
      <c r="H28" s="9">
        <f>IF(Supuestos!$D$9*Supuestos!$D$21*E28&gt;0,MAX(Supuestos!$D$25,CEILING(Supuestos!$D$9*Supuestos!$D$21*E28/Supuestos!$D$23,1)+Supuestos!$D$24),Supuestos!$D$25)</f>
        <v>2</v>
      </c>
      <c r="I28" s="9">
        <f>F28*Supuestos!$D$40*(G28+H28)*365*Supuestos!$D$48</f>
        <v>239.49605231999999</v>
      </c>
      <c r="J28" s="9">
        <f>F28*Supuestos!$D$40*60*Supuestos!$D$48</f>
        <v>7.8738428159999989</v>
      </c>
      <c r="K28" s="9">
        <f>F28*Supuestos!$D$40*IF(Supuestos!$D$37=0,1,0)*('Precios Azure'!$C$6+MAX(0,Supuestos!$D$46*E28*Supuestos!$D$30/1000000-13)*'Precios Azure'!$C$7)</f>
        <v>0</v>
      </c>
      <c r="L28" s="9">
        <f>F28*Supuestos!$D$40*Supuestos!$D$37*730*'Precios Azure'!$C$8</f>
        <v>587.65235059999986</v>
      </c>
      <c r="M28" s="9">
        <f>F28*Supuestos!$D$40*Supuestos!$D$38*730*'Precios Azure'!$C$9</f>
        <v>607.5469962159998</v>
      </c>
      <c r="N28" s="9">
        <f>F28*Supuestos!$D$40*Supuestos!$D$46*E28*(Supuestos!$D$31/1000*'Precios Azure'!$C$10+Supuestos!$D$32/1000*'Precios Azure'!$C$11)</f>
        <v>83.493355704989128</v>
      </c>
      <c r="O28" s="9">
        <f>F28*Supuestos!$D$40*((Supuestos!$D$46*E28*Supuestos!$D$22*Supuestos!$D$28/1000*Supuestos!$D$29/30.4+Supuestos!$D$46*E28*Supuestos!$D$33/1000000*Supuestos!$D$34)*'Precios Azure'!$C$12+Supuestos!$D$46*E28*Supuestos!$D$35/10000*'Precios Azure'!$C$13)</f>
        <v>49.712627558083781</v>
      </c>
      <c r="P28" s="9">
        <f>F28*Supuestos!$D$40*30.4*'Precios Azure'!$C$5</f>
        <v>4.3957428659199991</v>
      </c>
      <c r="Q28" s="9">
        <f>F28*Supuestos!$D$40*MAX(0,Supuestos!$D$36-5)*'Precios Azure'!$C$14</f>
        <v>137.47979519999998</v>
      </c>
      <c r="R28" s="9">
        <f>F28*Supuestos!$D$39*Supuestos!$D$44</f>
        <v>4133.333333333333</v>
      </c>
      <c r="S28" s="9">
        <f t="shared" si="0"/>
        <v>5850.9840966143256</v>
      </c>
      <c r="T28" s="9">
        <f>D28*Supuestos!$D$19*Supuestos!$D$8</f>
        <v>4000</v>
      </c>
      <c r="U28" s="9">
        <f t="shared" si="1"/>
        <v>-1850.9840966143256</v>
      </c>
      <c r="V28" s="9">
        <f>SUM($U$2:U28)</f>
        <v>-183427.27133696058</v>
      </c>
    </row>
    <row r="29" spans="1:22" x14ac:dyDescent="0.25">
      <c r="A29">
        <v>28</v>
      </c>
      <c r="B29" s="9">
        <f>IF(A29=1,Supuestos!$D$11,IF(A29=2,Supuestos!$D$12,IF(A29=3,Supuestos!$D$13,0)))*Supuestos!$D$45</f>
        <v>0</v>
      </c>
      <c r="C29" s="6">
        <f>IF(A29&lt;Supuestos!$D$15,0,IF(A29&gt;=Supuestos!$D$16,1,0.1+0.9*(A29-Supuestos!$D$15)/(Supuestos!$D$16-Supuestos!$D$15)))</f>
        <v>1</v>
      </c>
      <c r="D29" s="9">
        <f>Supuestos!$D$17*Supuestos!$D$18*C29</f>
        <v>500</v>
      </c>
      <c r="E29" s="6">
        <f>IF(F29=0,0,IF(D29=0,0.05*Supuestos!$D$18,D29/Supuestos!$D$17))</f>
        <v>0.25</v>
      </c>
      <c r="F29" s="9">
        <f>IF(A29&gt;=Supuestos!$D$14,1,0)</f>
        <v>1</v>
      </c>
      <c r="G29" s="9">
        <f>IF(Supuestos!$D$9*Supuestos!$D$20*E29&gt;0,MAX(Supuestos!$D$25,CEILING(Supuestos!$D$9*Supuestos!$D$20*E29/Supuestos!$D$23,1)+Supuestos!$D$24),Supuestos!$D$25)</f>
        <v>3</v>
      </c>
      <c r="H29" s="9">
        <f>IF(Supuestos!$D$9*Supuestos!$D$21*E29&gt;0,MAX(Supuestos!$D$25,CEILING(Supuestos!$D$9*Supuestos!$D$21*E29/Supuestos!$D$23,1)+Supuestos!$D$24),Supuestos!$D$25)</f>
        <v>2</v>
      </c>
      <c r="I29" s="9">
        <f>F29*Supuestos!$D$40*(G29+H29)*365*Supuestos!$D$48</f>
        <v>239.49605231999999</v>
      </c>
      <c r="J29" s="9">
        <f>F29*Supuestos!$D$40*60*Supuestos!$D$48</f>
        <v>7.8738428159999989</v>
      </c>
      <c r="K29" s="9">
        <f>F29*Supuestos!$D$40*IF(Supuestos!$D$37=0,1,0)*('Precios Azure'!$C$6+MAX(0,Supuestos!$D$46*E29*Supuestos!$D$30/1000000-13)*'Precios Azure'!$C$7)</f>
        <v>0</v>
      </c>
      <c r="L29" s="9">
        <f>F29*Supuestos!$D$40*Supuestos!$D$37*730*'Precios Azure'!$C$8</f>
        <v>587.65235059999986</v>
      </c>
      <c r="M29" s="9">
        <f>F29*Supuestos!$D$40*Supuestos!$D$38*730*'Precios Azure'!$C$9</f>
        <v>607.5469962159998</v>
      </c>
      <c r="N29" s="9">
        <f>F29*Supuestos!$D$40*Supuestos!$D$46*E29*(Supuestos!$D$31/1000*'Precios Azure'!$C$10+Supuestos!$D$32/1000*'Precios Azure'!$C$11)</f>
        <v>83.493355704989128</v>
      </c>
      <c r="O29" s="9">
        <f>F29*Supuestos!$D$40*((Supuestos!$D$46*E29*Supuestos!$D$22*Supuestos!$D$28/1000*Supuestos!$D$29/30.4+Supuestos!$D$46*E29*Supuestos!$D$33/1000000*Supuestos!$D$34)*'Precios Azure'!$C$12+Supuestos!$D$46*E29*Supuestos!$D$35/10000*'Precios Azure'!$C$13)</f>
        <v>49.712627558083781</v>
      </c>
      <c r="P29" s="9">
        <f>F29*Supuestos!$D$40*30.4*'Precios Azure'!$C$5</f>
        <v>4.3957428659199991</v>
      </c>
      <c r="Q29" s="9">
        <f>F29*Supuestos!$D$40*MAX(0,Supuestos!$D$36-5)*'Precios Azure'!$C$14</f>
        <v>137.47979519999998</v>
      </c>
      <c r="R29" s="9">
        <f>F29*Supuestos!$D$39*Supuestos!$D$44</f>
        <v>4133.333333333333</v>
      </c>
      <c r="S29" s="9">
        <f t="shared" si="0"/>
        <v>5850.9840966143256</v>
      </c>
      <c r="T29" s="9">
        <f>D29*Supuestos!$D$19*Supuestos!$D$8</f>
        <v>4000</v>
      </c>
      <c r="U29" s="9">
        <f t="shared" si="1"/>
        <v>-1850.9840966143256</v>
      </c>
      <c r="V29" s="9">
        <f>SUM($U$2:U29)</f>
        <v>-185278.2554335749</v>
      </c>
    </row>
    <row r="30" spans="1:22" x14ac:dyDescent="0.25">
      <c r="A30">
        <v>29</v>
      </c>
      <c r="B30" s="9">
        <f>IF(A30=1,Supuestos!$D$11,IF(A30=2,Supuestos!$D$12,IF(A30=3,Supuestos!$D$13,0)))*Supuestos!$D$45</f>
        <v>0</v>
      </c>
      <c r="C30" s="6">
        <f>IF(A30&lt;Supuestos!$D$15,0,IF(A30&gt;=Supuestos!$D$16,1,0.1+0.9*(A30-Supuestos!$D$15)/(Supuestos!$D$16-Supuestos!$D$15)))</f>
        <v>1</v>
      </c>
      <c r="D30" s="9">
        <f>Supuestos!$D$17*Supuestos!$D$18*C30</f>
        <v>500</v>
      </c>
      <c r="E30" s="6">
        <f>IF(F30=0,0,IF(D30=0,0.05*Supuestos!$D$18,D30/Supuestos!$D$17))</f>
        <v>0.25</v>
      </c>
      <c r="F30" s="9">
        <f>IF(A30&gt;=Supuestos!$D$14,1,0)</f>
        <v>1</v>
      </c>
      <c r="G30" s="9">
        <f>IF(Supuestos!$D$9*Supuestos!$D$20*E30&gt;0,MAX(Supuestos!$D$25,CEILING(Supuestos!$D$9*Supuestos!$D$20*E30/Supuestos!$D$23,1)+Supuestos!$D$24),Supuestos!$D$25)</f>
        <v>3</v>
      </c>
      <c r="H30" s="9">
        <f>IF(Supuestos!$D$9*Supuestos!$D$21*E30&gt;0,MAX(Supuestos!$D$25,CEILING(Supuestos!$D$9*Supuestos!$D$21*E30/Supuestos!$D$23,1)+Supuestos!$D$24),Supuestos!$D$25)</f>
        <v>2</v>
      </c>
      <c r="I30" s="9">
        <f>F30*Supuestos!$D$40*(G30+H30)*365*Supuestos!$D$48</f>
        <v>239.49605231999999</v>
      </c>
      <c r="J30" s="9">
        <f>F30*Supuestos!$D$40*60*Supuestos!$D$48</f>
        <v>7.8738428159999989</v>
      </c>
      <c r="K30" s="9">
        <f>F30*Supuestos!$D$40*IF(Supuestos!$D$37=0,1,0)*('Precios Azure'!$C$6+MAX(0,Supuestos!$D$46*E30*Supuestos!$D$30/1000000-13)*'Precios Azure'!$C$7)</f>
        <v>0</v>
      </c>
      <c r="L30" s="9">
        <f>F30*Supuestos!$D$40*Supuestos!$D$37*730*'Precios Azure'!$C$8</f>
        <v>587.65235059999986</v>
      </c>
      <c r="M30" s="9">
        <f>F30*Supuestos!$D$40*Supuestos!$D$38*730*'Precios Azure'!$C$9</f>
        <v>607.5469962159998</v>
      </c>
      <c r="N30" s="9">
        <f>F30*Supuestos!$D$40*Supuestos!$D$46*E30*(Supuestos!$D$31/1000*'Precios Azure'!$C$10+Supuestos!$D$32/1000*'Precios Azure'!$C$11)</f>
        <v>83.493355704989128</v>
      </c>
      <c r="O30" s="9">
        <f>F30*Supuestos!$D$40*((Supuestos!$D$46*E30*Supuestos!$D$22*Supuestos!$D$28/1000*Supuestos!$D$29/30.4+Supuestos!$D$46*E30*Supuestos!$D$33/1000000*Supuestos!$D$34)*'Precios Azure'!$C$12+Supuestos!$D$46*E30*Supuestos!$D$35/10000*'Precios Azure'!$C$13)</f>
        <v>49.712627558083781</v>
      </c>
      <c r="P30" s="9">
        <f>F30*Supuestos!$D$40*30.4*'Precios Azure'!$C$5</f>
        <v>4.3957428659199991</v>
      </c>
      <c r="Q30" s="9">
        <f>F30*Supuestos!$D$40*MAX(0,Supuestos!$D$36-5)*'Precios Azure'!$C$14</f>
        <v>137.47979519999998</v>
      </c>
      <c r="R30" s="9">
        <f>F30*Supuestos!$D$39*Supuestos!$D$44</f>
        <v>4133.333333333333</v>
      </c>
      <c r="S30" s="9">
        <f t="shared" si="0"/>
        <v>5850.9840966143256</v>
      </c>
      <c r="T30" s="9">
        <f>D30*Supuestos!$D$19*Supuestos!$D$8</f>
        <v>4000</v>
      </c>
      <c r="U30" s="9">
        <f t="shared" si="1"/>
        <v>-1850.9840966143256</v>
      </c>
      <c r="V30" s="9">
        <f>SUM($U$2:U30)</f>
        <v>-187129.23953018922</v>
      </c>
    </row>
    <row r="31" spans="1:22" x14ac:dyDescent="0.25">
      <c r="A31">
        <v>30</v>
      </c>
      <c r="B31" s="9">
        <f>IF(A31=1,Supuestos!$D$11,IF(A31=2,Supuestos!$D$12,IF(A31=3,Supuestos!$D$13,0)))*Supuestos!$D$45</f>
        <v>0</v>
      </c>
      <c r="C31" s="6">
        <f>IF(A31&lt;Supuestos!$D$15,0,IF(A31&gt;=Supuestos!$D$16,1,0.1+0.9*(A31-Supuestos!$D$15)/(Supuestos!$D$16-Supuestos!$D$15)))</f>
        <v>1</v>
      </c>
      <c r="D31" s="9">
        <f>Supuestos!$D$17*Supuestos!$D$18*C31</f>
        <v>500</v>
      </c>
      <c r="E31" s="6">
        <f>IF(F31=0,0,IF(D31=0,0.05*Supuestos!$D$18,D31/Supuestos!$D$17))</f>
        <v>0.25</v>
      </c>
      <c r="F31" s="9">
        <f>IF(A31&gt;=Supuestos!$D$14,1,0)</f>
        <v>1</v>
      </c>
      <c r="G31" s="9">
        <f>IF(Supuestos!$D$9*Supuestos!$D$20*E31&gt;0,MAX(Supuestos!$D$25,CEILING(Supuestos!$D$9*Supuestos!$D$20*E31/Supuestos!$D$23,1)+Supuestos!$D$24),Supuestos!$D$25)</f>
        <v>3</v>
      </c>
      <c r="H31" s="9">
        <f>IF(Supuestos!$D$9*Supuestos!$D$21*E31&gt;0,MAX(Supuestos!$D$25,CEILING(Supuestos!$D$9*Supuestos!$D$21*E31/Supuestos!$D$23,1)+Supuestos!$D$24),Supuestos!$D$25)</f>
        <v>2</v>
      </c>
      <c r="I31" s="9">
        <f>F31*Supuestos!$D$40*(G31+H31)*365*Supuestos!$D$48</f>
        <v>239.49605231999999</v>
      </c>
      <c r="J31" s="9">
        <f>F31*Supuestos!$D$40*60*Supuestos!$D$48</f>
        <v>7.8738428159999989</v>
      </c>
      <c r="K31" s="9">
        <f>F31*Supuestos!$D$40*IF(Supuestos!$D$37=0,1,0)*('Precios Azure'!$C$6+MAX(0,Supuestos!$D$46*E31*Supuestos!$D$30/1000000-13)*'Precios Azure'!$C$7)</f>
        <v>0</v>
      </c>
      <c r="L31" s="9">
        <f>F31*Supuestos!$D$40*Supuestos!$D$37*730*'Precios Azure'!$C$8</f>
        <v>587.65235059999986</v>
      </c>
      <c r="M31" s="9">
        <f>F31*Supuestos!$D$40*Supuestos!$D$38*730*'Precios Azure'!$C$9</f>
        <v>607.5469962159998</v>
      </c>
      <c r="N31" s="9">
        <f>F31*Supuestos!$D$40*Supuestos!$D$46*E31*(Supuestos!$D$31/1000*'Precios Azure'!$C$10+Supuestos!$D$32/1000*'Precios Azure'!$C$11)</f>
        <v>83.493355704989128</v>
      </c>
      <c r="O31" s="9">
        <f>F31*Supuestos!$D$40*((Supuestos!$D$46*E31*Supuestos!$D$22*Supuestos!$D$28/1000*Supuestos!$D$29/30.4+Supuestos!$D$46*E31*Supuestos!$D$33/1000000*Supuestos!$D$34)*'Precios Azure'!$C$12+Supuestos!$D$46*E31*Supuestos!$D$35/10000*'Precios Azure'!$C$13)</f>
        <v>49.712627558083781</v>
      </c>
      <c r="P31" s="9">
        <f>F31*Supuestos!$D$40*30.4*'Precios Azure'!$C$5</f>
        <v>4.3957428659199991</v>
      </c>
      <c r="Q31" s="9">
        <f>F31*Supuestos!$D$40*MAX(0,Supuestos!$D$36-5)*'Precios Azure'!$C$14</f>
        <v>137.47979519999998</v>
      </c>
      <c r="R31" s="9">
        <f>F31*Supuestos!$D$39*Supuestos!$D$44</f>
        <v>4133.333333333333</v>
      </c>
      <c r="S31" s="9">
        <f t="shared" si="0"/>
        <v>5850.9840966143256</v>
      </c>
      <c r="T31" s="9">
        <f>D31*Supuestos!$D$19*Supuestos!$D$8</f>
        <v>4000</v>
      </c>
      <c r="U31" s="9">
        <f t="shared" si="1"/>
        <v>-1850.9840966143256</v>
      </c>
      <c r="V31" s="9">
        <f>SUM($U$2:U31)</f>
        <v>-188980.22362680355</v>
      </c>
    </row>
    <row r="32" spans="1:22" x14ac:dyDescent="0.25">
      <c r="A32">
        <v>31</v>
      </c>
      <c r="B32" s="9">
        <f>IF(A32=1,Supuestos!$D$11,IF(A32=2,Supuestos!$D$12,IF(A32=3,Supuestos!$D$13,0)))*Supuestos!$D$45</f>
        <v>0</v>
      </c>
      <c r="C32" s="6">
        <f>IF(A32&lt;Supuestos!$D$15,0,IF(A32&gt;=Supuestos!$D$16,1,0.1+0.9*(A32-Supuestos!$D$15)/(Supuestos!$D$16-Supuestos!$D$15)))</f>
        <v>1</v>
      </c>
      <c r="D32" s="9">
        <f>Supuestos!$D$17*Supuestos!$D$18*C32</f>
        <v>500</v>
      </c>
      <c r="E32" s="6">
        <f>IF(F32=0,0,IF(D32=0,0.05*Supuestos!$D$18,D32/Supuestos!$D$17))</f>
        <v>0.25</v>
      </c>
      <c r="F32" s="9">
        <f>IF(A32&gt;=Supuestos!$D$14,1,0)</f>
        <v>1</v>
      </c>
      <c r="G32" s="9">
        <f>IF(Supuestos!$D$9*Supuestos!$D$20*E32&gt;0,MAX(Supuestos!$D$25,CEILING(Supuestos!$D$9*Supuestos!$D$20*E32/Supuestos!$D$23,1)+Supuestos!$D$24),Supuestos!$D$25)</f>
        <v>3</v>
      </c>
      <c r="H32" s="9">
        <f>IF(Supuestos!$D$9*Supuestos!$D$21*E32&gt;0,MAX(Supuestos!$D$25,CEILING(Supuestos!$D$9*Supuestos!$D$21*E32/Supuestos!$D$23,1)+Supuestos!$D$24),Supuestos!$D$25)</f>
        <v>2</v>
      </c>
      <c r="I32" s="9">
        <f>F32*Supuestos!$D$40*(G32+H32)*365*Supuestos!$D$48</f>
        <v>239.49605231999999</v>
      </c>
      <c r="J32" s="9">
        <f>F32*Supuestos!$D$40*60*Supuestos!$D$48</f>
        <v>7.8738428159999989</v>
      </c>
      <c r="K32" s="9">
        <f>F32*Supuestos!$D$40*IF(Supuestos!$D$37=0,1,0)*('Precios Azure'!$C$6+MAX(0,Supuestos!$D$46*E32*Supuestos!$D$30/1000000-13)*'Precios Azure'!$C$7)</f>
        <v>0</v>
      </c>
      <c r="L32" s="9">
        <f>F32*Supuestos!$D$40*Supuestos!$D$37*730*'Precios Azure'!$C$8</f>
        <v>587.65235059999986</v>
      </c>
      <c r="M32" s="9">
        <f>F32*Supuestos!$D$40*Supuestos!$D$38*730*'Precios Azure'!$C$9</f>
        <v>607.5469962159998</v>
      </c>
      <c r="N32" s="9">
        <f>F32*Supuestos!$D$40*Supuestos!$D$46*E32*(Supuestos!$D$31/1000*'Precios Azure'!$C$10+Supuestos!$D$32/1000*'Precios Azure'!$C$11)</f>
        <v>83.493355704989128</v>
      </c>
      <c r="O32" s="9">
        <f>F32*Supuestos!$D$40*((Supuestos!$D$46*E32*Supuestos!$D$22*Supuestos!$D$28/1000*Supuestos!$D$29/30.4+Supuestos!$D$46*E32*Supuestos!$D$33/1000000*Supuestos!$D$34)*'Precios Azure'!$C$12+Supuestos!$D$46*E32*Supuestos!$D$35/10000*'Precios Azure'!$C$13)</f>
        <v>49.712627558083781</v>
      </c>
      <c r="P32" s="9">
        <f>F32*Supuestos!$D$40*30.4*'Precios Azure'!$C$5</f>
        <v>4.3957428659199991</v>
      </c>
      <c r="Q32" s="9">
        <f>F32*Supuestos!$D$40*MAX(0,Supuestos!$D$36-5)*'Precios Azure'!$C$14</f>
        <v>137.47979519999998</v>
      </c>
      <c r="R32" s="9">
        <f>F32*Supuestos!$D$39*Supuestos!$D$44</f>
        <v>4133.333333333333</v>
      </c>
      <c r="S32" s="9">
        <f t="shared" si="0"/>
        <v>5850.9840966143256</v>
      </c>
      <c r="T32" s="9">
        <f>D32*Supuestos!$D$19*Supuestos!$D$8</f>
        <v>4000</v>
      </c>
      <c r="U32" s="9">
        <f t="shared" si="1"/>
        <v>-1850.9840966143256</v>
      </c>
      <c r="V32" s="9">
        <f>SUM($U$2:U32)</f>
        <v>-190831.20772341787</v>
      </c>
    </row>
    <row r="33" spans="1:22" x14ac:dyDescent="0.25">
      <c r="A33">
        <v>32</v>
      </c>
      <c r="B33" s="9">
        <f>IF(A33=1,Supuestos!$D$11,IF(A33=2,Supuestos!$D$12,IF(A33=3,Supuestos!$D$13,0)))*Supuestos!$D$45</f>
        <v>0</v>
      </c>
      <c r="C33" s="6">
        <f>IF(A33&lt;Supuestos!$D$15,0,IF(A33&gt;=Supuestos!$D$16,1,0.1+0.9*(A33-Supuestos!$D$15)/(Supuestos!$D$16-Supuestos!$D$15)))</f>
        <v>1</v>
      </c>
      <c r="D33" s="9">
        <f>Supuestos!$D$17*Supuestos!$D$18*C33</f>
        <v>500</v>
      </c>
      <c r="E33" s="6">
        <f>IF(F33=0,0,IF(D33=0,0.05*Supuestos!$D$18,D33/Supuestos!$D$17))</f>
        <v>0.25</v>
      </c>
      <c r="F33" s="9">
        <f>IF(A33&gt;=Supuestos!$D$14,1,0)</f>
        <v>1</v>
      </c>
      <c r="G33" s="9">
        <f>IF(Supuestos!$D$9*Supuestos!$D$20*E33&gt;0,MAX(Supuestos!$D$25,CEILING(Supuestos!$D$9*Supuestos!$D$20*E33/Supuestos!$D$23,1)+Supuestos!$D$24),Supuestos!$D$25)</f>
        <v>3</v>
      </c>
      <c r="H33" s="9">
        <f>IF(Supuestos!$D$9*Supuestos!$D$21*E33&gt;0,MAX(Supuestos!$D$25,CEILING(Supuestos!$D$9*Supuestos!$D$21*E33/Supuestos!$D$23,1)+Supuestos!$D$24),Supuestos!$D$25)</f>
        <v>2</v>
      </c>
      <c r="I33" s="9">
        <f>F33*Supuestos!$D$40*(G33+H33)*365*Supuestos!$D$48</f>
        <v>239.49605231999999</v>
      </c>
      <c r="J33" s="9">
        <f>F33*Supuestos!$D$40*60*Supuestos!$D$48</f>
        <v>7.8738428159999989</v>
      </c>
      <c r="K33" s="9">
        <f>F33*Supuestos!$D$40*IF(Supuestos!$D$37=0,1,0)*('Precios Azure'!$C$6+MAX(0,Supuestos!$D$46*E33*Supuestos!$D$30/1000000-13)*'Precios Azure'!$C$7)</f>
        <v>0</v>
      </c>
      <c r="L33" s="9">
        <f>F33*Supuestos!$D$40*Supuestos!$D$37*730*'Precios Azure'!$C$8</f>
        <v>587.65235059999986</v>
      </c>
      <c r="M33" s="9">
        <f>F33*Supuestos!$D$40*Supuestos!$D$38*730*'Precios Azure'!$C$9</f>
        <v>607.5469962159998</v>
      </c>
      <c r="N33" s="9">
        <f>F33*Supuestos!$D$40*Supuestos!$D$46*E33*(Supuestos!$D$31/1000*'Precios Azure'!$C$10+Supuestos!$D$32/1000*'Precios Azure'!$C$11)</f>
        <v>83.493355704989128</v>
      </c>
      <c r="O33" s="9">
        <f>F33*Supuestos!$D$40*((Supuestos!$D$46*E33*Supuestos!$D$22*Supuestos!$D$28/1000*Supuestos!$D$29/30.4+Supuestos!$D$46*E33*Supuestos!$D$33/1000000*Supuestos!$D$34)*'Precios Azure'!$C$12+Supuestos!$D$46*E33*Supuestos!$D$35/10000*'Precios Azure'!$C$13)</f>
        <v>49.712627558083781</v>
      </c>
      <c r="P33" s="9">
        <f>F33*Supuestos!$D$40*30.4*'Precios Azure'!$C$5</f>
        <v>4.3957428659199991</v>
      </c>
      <c r="Q33" s="9">
        <f>F33*Supuestos!$D$40*MAX(0,Supuestos!$D$36-5)*'Precios Azure'!$C$14</f>
        <v>137.47979519999998</v>
      </c>
      <c r="R33" s="9">
        <f>F33*Supuestos!$D$39*Supuestos!$D$44</f>
        <v>4133.333333333333</v>
      </c>
      <c r="S33" s="9">
        <f t="shared" si="0"/>
        <v>5850.9840966143256</v>
      </c>
      <c r="T33" s="9">
        <f>D33*Supuestos!$D$19*Supuestos!$D$8</f>
        <v>4000</v>
      </c>
      <c r="U33" s="9">
        <f t="shared" si="1"/>
        <v>-1850.9840966143256</v>
      </c>
      <c r="V33" s="9">
        <f>SUM($U$2:U33)</f>
        <v>-192682.1918200322</v>
      </c>
    </row>
    <row r="34" spans="1:22" x14ac:dyDescent="0.25">
      <c r="A34">
        <v>33</v>
      </c>
      <c r="B34" s="9">
        <f>IF(A34=1,Supuestos!$D$11,IF(A34=2,Supuestos!$D$12,IF(A34=3,Supuestos!$D$13,0)))*Supuestos!$D$45</f>
        <v>0</v>
      </c>
      <c r="C34" s="6">
        <f>IF(A34&lt;Supuestos!$D$15,0,IF(A34&gt;=Supuestos!$D$16,1,0.1+0.9*(A34-Supuestos!$D$15)/(Supuestos!$D$16-Supuestos!$D$15)))</f>
        <v>1</v>
      </c>
      <c r="D34" s="9">
        <f>Supuestos!$D$17*Supuestos!$D$18*C34</f>
        <v>500</v>
      </c>
      <c r="E34" s="6">
        <f>IF(F34=0,0,IF(D34=0,0.05*Supuestos!$D$18,D34/Supuestos!$D$17))</f>
        <v>0.25</v>
      </c>
      <c r="F34" s="9">
        <f>IF(A34&gt;=Supuestos!$D$14,1,0)</f>
        <v>1</v>
      </c>
      <c r="G34" s="9">
        <f>IF(Supuestos!$D$9*Supuestos!$D$20*E34&gt;0,MAX(Supuestos!$D$25,CEILING(Supuestos!$D$9*Supuestos!$D$20*E34/Supuestos!$D$23,1)+Supuestos!$D$24),Supuestos!$D$25)</f>
        <v>3</v>
      </c>
      <c r="H34" s="9">
        <f>IF(Supuestos!$D$9*Supuestos!$D$21*E34&gt;0,MAX(Supuestos!$D$25,CEILING(Supuestos!$D$9*Supuestos!$D$21*E34/Supuestos!$D$23,1)+Supuestos!$D$24),Supuestos!$D$25)</f>
        <v>2</v>
      </c>
      <c r="I34" s="9">
        <f>F34*Supuestos!$D$40*(G34+H34)*365*Supuestos!$D$48</f>
        <v>239.49605231999999</v>
      </c>
      <c r="J34" s="9">
        <f>F34*Supuestos!$D$40*60*Supuestos!$D$48</f>
        <v>7.8738428159999989</v>
      </c>
      <c r="K34" s="9">
        <f>F34*Supuestos!$D$40*IF(Supuestos!$D$37=0,1,0)*('Precios Azure'!$C$6+MAX(0,Supuestos!$D$46*E34*Supuestos!$D$30/1000000-13)*'Precios Azure'!$C$7)</f>
        <v>0</v>
      </c>
      <c r="L34" s="9">
        <f>F34*Supuestos!$D$40*Supuestos!$D$37*730*'Precios Azure'!$C$8</f>
        <v>587.65235059999986</v>
      </c>
      <c r="M34" s="9">
        <f>F34*Supuestos!$D$40*Supuestos!$D$38*730*'Precios Azure'!$C$9</f>
        <v>607.5469962159998</v>
      </c>
      <c r="N34" s="9">
        <f>F34*Supuestos!$D$40*Supuestos!$D$46*E34*(Supuestos!$D$31/1000*'Precios Azure'!$C$10+Supuestos!$D$32/1000*'Precios Azure'!$C$11)</f>
        <v>83.493355704989128</v>
      </c>
      <c r="O34" s="9">
        <f>F34*Supuestos!$D$40*((Supuestos!$D$46*E34*Supuestos!$D$22*Supuestos!$D$28/1000*Supuestos!$D$29/30.4+Supuestos!$D$46*E34*Supuestos!$D$33/1000000*Supuestos!$D$34)*'Precios Azure'!$C$12+Supuestos!$D$46*E34*Supuestos!$D$35/10000*'Precios Azure'!$C$13)</f>
        <v>49.712627558083781</v>
      </c>
      <c r="P34" s="9">
        <f>F34*Supuestos!$D$40*30.4*'Precios Azure'!$C$5</f>
        <v>4.3957428659199991</v>
      </c>
      <c r="Q34" s="9">
        <f>F34*Supuestos!$D$40*MAX(0,Supuestos!$D$36-5)*'Precios Azure'!$C$14</f>
        <v>137.47979519999998</v>
      </c>
      <c r="R34" s="9">
        <f>F34*Supuestos!$D$39*Supuestos!$D$44</f>
        <v>4133.333333333333</v>
      </c>
      <c r="S34" s="9">
        <f t="shared" si="0"/>
        <v>5850.9840966143256</v>
      </c>
      <c r="T34" s="9">
        <f>D34*Supuestos!$D$19*Supuestos!$D$8</f>
        <v>4000</v>
      </c>
      <c r="U34" s="9">
        <f t="shared" si="1"/>
        <v>-1850.9840966143256</v>
      </c>
      <c r="V34" s="9">
        <f>SUM($U$2:U34)</f>
        <v>-194533.17591664652</v>
      </c>
    </row>
    <row r="35" spans="1:22" x14ac:dyDescent="0.25">
      <c r="A35">
        <v>34</v>
      </c>
      <c r="B35" s="9">
        <f>IF(A35=1,Supuestos!$D$11,IF(A35=2,Supuestos!$D$12,IF(A35=3,Supuestos!$D$13,0)))*Supuestos!$D$45</f>
        <v>0</v>
      </c>
      <c r="C35" s="6">
        <f>IF(A35&lt;Supuestos!$D$15,0,IF(A35&gt;=Supuestos!$D$16,1,0.1+0.9*(A35-Supuestos!$D$15)/(Supuestos!$D$16-Supuestos!$D$15)))</f>
        <v>1</v>
      </c>
      <c r="D35" s="9">
        <f>Supuestos!$D$17*Supuestos!$D$18*C35</f>
        <v>500</v>
      </c>
      <c r="E35" s="6">
        <f>IF(F35=0,0,IF(D35=0,0.05*Supuestos!$D$18,D35/Supuestos!$D$17))</f>
        <v>0.25</v>
      </c>
      <c r="F35" s="9">
        <f>IF(A35&gt;=Supuestos!$D$14,1,0)</f>
        <v>1</v>
      </c>
      <c r="G35" s="9">
        <f>IF(Supuestos!$D$9*Supuestos!$D$20*E35&gt;0,MAX(Supuestos!$D$25,CEILING(Supuestos!$D$9*Supuestos!$D$20*E35/Supuestos!$D$23,1)+Supuestos!$D$24),Supuestos!$D$25)</f>
        <v>3</v>
      </c>
      <c r="H35" s="9">
        <f>IF(Supuestos!$D$9*Supuestos!$D$21*E35&gt;0,MAX(Supuestos!$D$25,CEILING(Supuestos!$D$9*Supuestos!$D$21*E35/Supuestos!$D$23,1)+Supuestos!$D$24),Supuestos!$D$25)</f>
        <v>2</v>
      </c>
      <c r="I35" s="9">
        <f>F35*Supuestos!$D$40*(G35+H35)*365*Supuestos!$D$48</f>
        <v>239.49605231999999</v>
      </c>
      <c r="J35" s="9">
        <f>F35*Supuestos!$D$40*60*Supuestos!$D$48</f>
        <v>7.8738428159999989</v>
      </c>
      <c r="K35" s="9">
        <f>F35*Supuestos!$D$40*IF(Supuestos!$D$37=0,1,0)*('Precios Azure'!$C$6+MAX(0,Supuestos!$D$46*E35*Supuestos!$D$30/1000000-13)*'Precios Azure'!$C$7)</f>
        <v>0</v>
      </c>
      <c r="L35" s="9">
        <f>F35*Supuestos!$D$40*Supuestos!$D$37*730*'Precios Azure'!$C$8</f>
        <v>587.65235059999986</v>
      </c>
      <c r="M35" s="9">
        <f>F35*Supuestos!$D$40*Supuestos!$D$38*730*'Precios Azure'!$C$9</f>
        <v>607.5469962159998</v>
      </c>
      <c r="N35" s="9">
        <f>F35*Supuestos!$D$40*Supuestos!$D$46*E35*(Supuestos!$D$31/1000*'Precios Azure'!$C$10+Supuestos!$D$32/1000*'Precios Azure'!$C$11)</f>
        <v>83.493355704989128</v>
      </c>
      <c r="O35" s="9">
        <f>F35*Supuestos!$D$40*((Supuestos!$D$46*E35*Supuestos!$D$22*Supuestos!$D$28/1000*Supuestos!$D$29/30.4+Supuestos!$D$46*E35*Supuestos!$D$33/1000000*Supuestos!$D$34)*'Precios Azure'!$C$12+Supuestos!$D$46*E35*Supuestos!$D$35/10000*'Precios Azure'!$C$13)</f>
        <v>49.712627558083781</v>
      </c>
      <c r="P35" s="9">
        <f>F35*Supuestos!$D$40*30.4*'Precios Azure'!$C$5</f>
        <v>4.3957428659199991</v>
      </c>
      <c r="Q35" s="9">
        <f>F35*Supuestos!$D$40*MAX(0,Supuestos!$D$36-5)*'Precios Azure'!$C$14</f>
        <v>137.47979519999998</v>
      </c>
      <c r="R35" s="9">
        <f>F35*Supuestos!$D$39*Supuestos!$D$44</f>
        <v>4133.333333333333</v>
      </c>
      <c r="S35" s="9">
        <f t="shared" si="0"/>
        <v>5850.9840966143256</v>
      </c>
      <c r="T35" s="9">
        <f>D35*Supuestos!$D$19*Supuestos!$D$8</f>
        <v>4000</v>
      </c>
      <c r="U35" s="9">
        <f t="shared" si="1"/>
        <v>-1850.9840966143256</v>
      </c>
      <c r="V35" s="9">
        <f>SUM($U$2:U35)</f>
        <v>-196384.16001326084</v>
      </c>
    </row>
    <row r="36" spans="1:22" x14ac:dyDescent="0.25">
      <c r="A36">
        <v>35</v>
      </c>
      <c r="B36" s="9">
        <f>IF(A36=1,Supuestos!$D$11,IF(A36=2,Supuestos!$D$12,IF(A36=3,Supuestos!$D$13,0)))*Supuestos!$D$45</f>
        <v>0</v>
      </c>
      <c r="C36" s="6">
        <f>IF(A36&lt;Supuestos!$D$15,0,IF(A36&gt;=Supuestos!$D$16,1,0.1+0.9*(A36-Supuestos!$D$15)/(Supuestos!$D$16-Supuestos!$D$15)))</f>
        <v>1</v>
      </c>
      <c r="D36" s="9">
        <f>Supuestos!$D$17*Supuestos!$D$18*C36</f>
        <v>500</v>
      </c>
      <c r="E36" s="6">
        <f>IF(F36=0,0,IF(D36=0,0.05*Supuestos!$D$18,D36/Supuestos!$D$17))</f>
        <v>0.25</v>
      </c>
      <c r="F36" s="9">
        <f>IF(A36&gt;=Supuestos!$D$14,1,0)</f>
        <v>1</v>
      </c>
      <c r="G36" s="9">
        <f>IF(Supuestos!$D$9*Supuestos!$D$20*E36&gt;0,MAX(Supuestos!$D$25,CEILING(Supuestos!$D$9*Supuestos!$D$20*E36/Supuestos!$D$23,1)+Supuestos!$D$24),Supuestos!$D$25)</f>
        <v>3</v>
      </c>
      <c r="H36" s="9">
        <f>IF(Supuestos!$D$9*Supuestos!$D$21*E36&gt;0,MAX(Supuestos!$D$25,CEILING(Supuestos!$D$9*Supuestos!$D$21*E36/Supuestos!$D$23,1)+Supuestos!$D$24),Supuestos!$D$25)</f>
        <v>2</v>
      </c>
      <c r="I36" s="9">
        <f>F36*Supuestos!$D$40*(G36+H36)*365*Supuestos!$D$48</f>
        <v>239.49605231999999</v>
      </c>
      <c r="J36" s="9">
        <f>F36*Supuestos!$D$40*60*Supuestos!$D$48</f>
        <v>7.8738428159999989</v>
      </c>
      <c r="K36" s="9">
        <f>F36*Supuestos!$D$40*IF(Supuestos!$D$37=0,1,0)*('Precios Azure'!$C$6+MAX(0,Supuestos!$D$46*E36*Supuestos!$D$30/1000000-13)*'Precios Azure'!$C$7)</f>
        <v>0</v>
      </c>
      <c r="L36" s="9">
        <f>F36*Supuestos!$D$40*Supuestos!$D$37*730*'Precios Azure'!$C$8</f>
        <v>587.65235059999986</v>
      </c>
      <c r="M36" s="9">
        <f>F36*Supuestos!$D$40*Supuestos!$D$38*730*'Precios Azure'!$C$9</f>
        <v>607.5469962159998</v>
      </c>
      <c r="N36" s="9">
        <f>F36*Supuestos!$D$40*Supuestos!$D$46*E36*(Supuestos!$D$31/1000*'Precios Azure'!$C$10+Supuestos!$D$32/1000*'Precios Azure'!$C$11)</f>
        <v>83.493355704989128</v>
      </c>
      <c r="O36" s="9">
        <f>F36*Supuestos!$D$40*((Supuestos!$D$46*E36*Supuestos!$D$22*Supuestos!$D$28/1000*Supuestos!$D$29/30.4+Supuestos!$D$46*E36*Supuestos!$D$33/1000000*Supuestos!$D$34)*'Precios Azure'!$C$12+Supuestos!$D$46*E36*Supuestos!$D$35/10000*'Precios Azure'!$C$13)</f>
        <v>49.712627558083781</v>
      </c>
      <c r="P36" s="9">
        <f>F36*Supuestos!$D$40*30.4*'Precios Azure'!$C$5</f>
        <v>4.3957428659199991</v>
      </c>
      <c r="Q36" s="9">
        <f>F36*Supuestos!$D$40*MAX(0,Supuestos!$D$36-5)*'Precios Azure'!$C$14</f>
        <v>137.47979519999998</v>
      </c>
      <c r="R36" s="9">
        <f>F36*Supuestos!$D$39*Supuestos!$D$44</f>
        <v>4133.333333333333</v>
      </c>
      <c r="S36" s="9">
        <f t="shared" si="0"/>
        <v>5850.9840966143256</v>
      </c>
      <c r="T36" s="9">
        <f>D36*Supuestos!$D$19*Supuestos!$D$8</f>
        <v>4000</v>
      </c>
      <c r="U36" s="9">
        <f t="shared" si="1"/>
        <v>-1850.9840966143256</v>
      </c>
      <c r="V36" s="9">
        <f>SUM($U$2:U36)</f>
        <v>-198235.14410987517</v>
      </c>
    </row>
    <row r="37" spans="1:22" x14ac:dyDescent="0.25">
      <c r="A37">
        <v>36</v>
      </c>
      <c r="B37" s="9">
        <f>IF(A37=1,Supuestos!$D$11,IF(A37=2,Supuestos!$D$12,IF(A37=3,Supuestos!$D$13,0)))*Supuestos!$D$45</f>
        <v>0</v>
      </c>
      <c r="C37" s="6">
        <f>IF(A37&lt;Supuestos!$D$15,0,IF(A37&gt;=Supuestos!$D$16,1,0.1+0.9*(A37-Supuestos!$D$15)/(Supuestos!$D$16-Supuestos!$D$15)))</f>
        <v>1</v>
      </c>
      <c r="D37" s="9">
        <f>Supuestos!$D$17*Supuestos!$D$18*C37</f>
        <v>500</v>
      </c>
      <c r="E37" s="6">
        <f>IF(F37=0,0,IF(D37=0,0.05*Supuestos!$D$18,D37/Supuestos!$D$17))</f>
        <v>0.25</v>
      </c>
      <c r="F37" s="9">
        <f>IF(A37&gt;=Supuestos!$D$14,1,0)</f>
        <v>1</v>
      </c>
      <c r="G37" s="9">
        <f>IF(Supuestos!$D$9*Supuestos!$D$20*E37&gt;0,MAX(Supuestos!$D$25,CEILING(Supuestos!$D$9*Supuestos!$D$20*E37/Supuestos!$D$23,1)+Supuestos!$D$24),Supuestos!$D$25)</f>
        <v>3</v>
      </c>
      <c r="H37" s="9">
        <f>IF(Supuestos!$D$9*Supuestos!$D$21*E37&gt;0,MAX(Supuestos!$D$25,CEILING(Supuestos!$D$9*Supuestos!$D$21*E37/Supuestos!$D$23,1)+Supuestos!$D$24),Supuestos!$D$25)</f>
        <v>2</v>
      </c>
      <c r="I37" s="9">
        <f>F37*Supuestos!$D$40*(G37+H37)*365*Supuestos!$D$48</f>
        <v>239.49605231999999</v>
      </c>
      <c r="J37" s="9">
        <f>F37*Supuestos!$D$40*60*Supuestos!$D$48</f>
        <v>7.8738428159999989</v>
      </c>
      <c r="K37" s="9">
        <f>F37*Supuestos!$D$40*IF(Supuestos!$D$37=0,1,0)*('Precios Azure'!$C$6+MAX(0,Supuestos!$D$46*E37*Supuestos!$D$30/1000000-13)*'Precios Azure'!$C$7)</f>
        <v>0</v>
      </c>
      <c r="L37" s="9">
        <f>F37*Supuestos!$D$40*Supuestos!$D$37*730*'Precios Azure'!$C$8</f>
        <v>587.65235059999986</v>
      </c>
      <c r="M37" s="9">
        <f>F37*Supuestos!$D$40*Supuestos!$D$38*730*'Precios Azure'!$C$9</f>
        <v>607.5469962159998</v>
      </c>
      <c r="N37" s="9">
        <f>F37*Supuestos!$D$40*Supuestos!$D$46*E37*(Supuestos!$D$31/1000*'Precios Azure'!$C$10+Supuestos!$D$32/1000*'Precios Azure'!$C$11)</f>
        <v>83.493355704989128</v>
      </c>
      <c r="O37" s="9">
        <f>F37*Supuestos!$D$40*((Supuestos!$D$46*E37*Supuestos!$D$22*Supuestos!$D$28/1000*Supuestos!$D$29/30.4+Supuestos!$D$46*E37*Supuestos!$D$33/1000000*Supuestos!$D$34)*'Precios Azure'!$C$12+Supuestos!$D$46*E37*Supuestos!$D$35/10000*'Precios Azure'!$C$13)</f>
        <v>49.712627558083781</v>
      </c>
      <c r="P37" s="9">
        <f>F37*Supuestos!$D$40*30.4*'Precios Azure'!$C$5</f>
        <v>4.3957428659199991</v>
      </c>
      <c r="Q37" s="9">
        <f>F37*Supuestos!$D$40*MAX(0,Supuestos!$D$36-5)*'Precios Azure'!$C$14</f>
        <v>137.47979519999998</v>
      </c>
      <c r="R37" s="9">
        <f>F37*Supuestos!$D$39*Supuestos!$D$44</f>
        <v>4133.333333333333</v>
      </c>
      <c r="S37" s="9">
        <f t="shared" si="0"/>
        <v>5850.9840966143256</v>
      </c>
      <c r="T37" s="9">
        <f>D37*Supuestos!$D$19*Supuestos!$D$8</f>
        <v>4000</v>
      </c>
      <c r="U37" s="9">
        <f t="shared" si="1"/>
        <v>-1850.9840966143256</v>
      </c>
      <c r="V37" s="9">
        <f>SUM($U$2:U37)</f>
        <v>-200086.12820648949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baseColWidth="10" defaultColWidth="9.140625" defaultRowHeight="15" x14ac:dyDescent="0.25"/>
  <cols>
    <col min="1" max="1" width="52" customWidth="1"/>
    <col min="2" max="4" width="18" customWidth="1"/>
  </cols>
  <sheetData>
    <row r="1" spans="1:4" x14ac:dyDescent="0.25">
      <c r="A1" s="5" t="s">
        <v>179</v>
      </c>
    </row>
    <row r="2" spans="1:4" x14ac:dyDescent="0.25">
      <c r="A2" s="2" t="s">
        <v>180</v>
      </c>
      <c r="B2" s="2" t="s">
        <v>181</v>
      </c>
      <c r="C2" s="2" t="s">
        <v>182</v>
      </c>
      <c r="D2" s="2" t="s">
        <v>183</v>
      </c>
    </row>
    <row r="3" spans="1:4" x14ac:dyDescent="0.25">
      <c r="A3" t="s">
        <v>184</v>
      </c>
      <c r="B3">
        <v>109641</v>
      </c>
      <c r="C3">
        <v>238610</v>
      </c>
      <c r="D3">
        <v>128969</v>
      </c>
    </row>
    <row r="4" spans="1:4" x14ac:dyDescent="0.25">
      <c r="A4" t="s">
        <v>185</v>
      </c>
      <c r="B4">
        <v>111719</v>
      </c>
      <c r="C4">
        <v>237251</v>
      </c>
      <c r="D4">
        <v>125532</v>
      </c>
    </row>
    <row r="5" spans="1:4" x14ac:dyDescent="0.25">
      <c r="A5" t="s">
        <v>186</v>
      </c>
      <c r="B5">
        <v>194854</v>
      </c>
      <c r="C5">
        <v>153396</v>
      </c>
      <c r="D5">
        <v>41457</v>
      </c>
    </row>
    <row r="6" spans="1:4" x14ac:dyDescent="0.25">
      <c r="A6" t="s">
        <v>187</v>
      </c>
      <c r="B6">
        <v>186808</v>
      </c>
      <c r="C6">
        <v>161443</v>
      </c>
      <c r="D6">
        <v>25365</v>
      </c>
    </row>
    <row r="7" spans="1:4" x14ac:dyDescent="0.25">
      <c r="A7" t="s">
        <v>188</v>
      </c>
      <c r="B7">
        <v>183863</v>
      </c>
      <c r="C7">
        <v>165024</v>
      </c>
      <c r="D7">
        <v>18839</v>
      </c>
    </row>
    <row r="8" spans="1:4" x14ac:dyDescent="0.25">
      <c r="A8" t="s">
        <v>189</v>
      </c>
      <c r="B8">
        <v>183056</v>
      </c>
      <c r="C8">
        <v>165194</v>
      </c>
      <c r="D8">
        <v>17862</v>
      </c>
    </row>
    <row r="9" spans="1:4" x14ac:dyDescent="0.25">
      <c r="A9" t="s">
        <v>190</v>
      </c>
      <c r="B9">
        <v>182172</v>
      </c>
      <c r="C9">
        <v>166079</v>
      </c>
      <c r="D9">
        <v>16093</v>
      </c>
    </row>
    <row r="10" spans="1:4" x14ac:dyDescent="0.25">
      <c r="A10" t="s">
        <v>191</v>
      </c>
      <c r="B10">
        <v>173290</v>
      </c>
      <c r="C10">
        <v>174237</v>
      </c>
      <c r="D10">
        <v>947</v>
      </c>
    </row>
    <row r="12" spans="1:4" x14ac:dyDescent="0.25">
      <c r="A12" t="s">
        <v>192</v>
      </c>
      <c r="B12" t="s">
        <v>193</v>
      </c>
    </row>
    <row r="13" spans="1:4" x14ac:dyDescent="0.25">
      <c r="A13" t="s">
        <v>194</v>
      </c>
      <c r="B13">
        <v>27.6</v>
      </c>
    </row>
    <row r="14" spans="1:4" x14ac:dyDescent="0.25">
      <c r="A14" t="s">
        <v>195</v>
      </c>
      <c r="B14">
        <v>0.26769999999999999</v>
      </c>
    </row>
    <row r="15" spans="1:4" x14ac:dyDescent="0.25">
      <c r="A15" t="s">
        <v>196</v>
      </c>
      <c r="B15">
        <v>146.41999999999999</v>
      </c>
    </row>
    <row r="17" spans="1:2" x14ac:dyDescent="0.25">
      <c r="A17" t="s">
        <v>98</v>
      </c>
      <c r="B17" t="s">
        <v>197</v>
      </c>
    </row>
    <row r="18" spans="1:2" x14ac:dyDescent="0.25">
      <c r="A18">
        <v>8.6999999999999994E-2</v>
      </c>
      <c r="B18">
        <v>187692</v>
      </c>
    </row>
    <row r="19" spans="1:2" x14ac:dyDescent="0.25">
      <c r="A19">
        <v>0.12</v>
      </c>
      <c r="B19">
        <v>174125</v>
      </c>
    </row>
    <row r="20" spans="1:2" x14ac:dyDescent="0.25">
      <c r="A20">
        <v>0.16</v>
      </c>
      <c r="B20">
        <v>159283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Resultados</vt:lpstr>
      <vt:lpstr>Precios Azure</vt:lpstr>
      <vt:lpstr>Flujo Optimista</vt:lpstr>
      <vt:lpstr>Flujo Base</vt:lpstr>
      <vt:lpstr>Flujo Pesimista</vt:lpstr>
      <vt:lpstr>Sensibilidad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NACHO MAN</cp:lastModifiedBy>
  <dcterms:created xsi:type="dcterms:W3CDTF">2026-10-27T20:57:43Z</dcterms:created>
  <dcterms:modified xsi:type="dcterms:W3CDTF">2026-10-27T20:57:48Z</dcterms:modified>
</cp:coreProperties>
</file>